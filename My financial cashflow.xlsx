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2018/Downloads/"/>
    </mc:Choice>
  </mc:AlternateContent>
  <xr:revisionPtr revIDLastSave="0" documentId="8_{671E601A-92B1-C04C-8EF2-9111A32F05A8}" xr6:coauthVersionLast="47" xr6:coauthVersionMax="47" xr10:uidLastSave="{00000000-0000-0000-0000-000000000000}"/>
  <bookViews>
    <workbookView xWindow="32200" yWindow="3460" windowWidth="33720" windowHeight="20100" xr2:uid="{00000000-000D-0000-FFFF-FFFF00000000}"/>
  </bookViews>
  <sheets>
    <sheet name="SOIC" sheetId="2" r:id="rId1"/>
    <sheet name="SOCI" sheetId="3" r:id="rId2"/>
    <sheet name="SOFP" sheetId="1" r:id="rId3"/>
    <sheet name="SOCF" sheetId="4" r:id="rId4"/>
    <sheet name="Financial Analysis" sheetId="6" r:id="rId5"/>
    <sheet name="valuation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1" l="1"/>
  <c r="B31" i="11"/>
  <c r="C31" i="11"/>
  <c r="D31" i="11" s="1"/>
  <c r="B33" i="11"/>
  <c r="B34" i="11" s="1"/>
  <c r="B35" i="11" s="1"/>
  <c r="B32" i="11"/>
  <c r="M13" i="11"/>
  <c r="L13" i="11"/>
  <c r="K13" i="11"/>
  <c r="J13" i="11"/>
  <c r="I14" i="11"/>
  <c r="I13" i="11"/>
  <c r="E13" i="11"/>
  <c r="D13" i="11"/>
  <c r="G2" i="11"/>
  <c r="I15" i="11"/>
  <c r="I16" i="11"/>
  <c r="I17" i="11"/>
  <c r="D14" i="11"/>
  <c r="E14" i="11" s="1"/>
  <c r="B14" i="11"/>
  <c r="J14" i="11" s="1"/>
  <c r="F14" i="11" l="1"/>
  <c r="G14" i="11" s="1"/>
  <c r="K14" i="11" s="1"/>
  <c r="F13" i="11"/>
  <c r="G13" i="11" s="1"/>
  <c r="B15" i="11"/>
  <c r="L14" i="11" l="1"/>
  <c r="N14" i="11" s="1"/>
  <c r="M14" i="11"/>
  <c r="N13" i="11"/>
  <c r="D15" i="11"/>
  <c r="E15" i="11" s="1"/>
  <c r="B16" i="11"/>
  <c r="J15" i="11"/>
  <c r="D16" i="11" l="1"/>
  <c r="E16" i="11" s="1"/>
  <c r="J16" i="11"/>
  <c r="B17" i="11"/>
  <c r="D17" i="11" s="1"/>
  <c r="F15" i="11"/>
  <c r="G15" i="11" s="1"/>
  <c r="K15" i="11" s="1"/>
  <c r="B37" i="6"/>
  <c r="B7" i="6"/>
  <c r="D69" i="6"/>
  <c r="E69" i="6"/>
  <c r="F69" i="6"/>
  <c r="C69" i="6"/>
  <c r="D68" i="6"/>
  <c r="E68" i="6"/>
  <c r="F68" i="6"/>
  <c r="C68" i="6"/>
  <c r="D67" i="6"/>
  <c r="E67" i="6"/>
  <c r="F67" i="6"/>
  <c r="D66" i="6"/>
  <c r="E66" i="6"/>
  <c r="F66" i="6"/>
  <c r="C66" i="6"/>
  <c r="C65" i="6"/>
  <c r="D65" i="6"/>
  <c r="E65" i="6"/>
  <c r="F65" i="6"/>
  <c r="B65" i="6"/>
  <c r="B55" i="6"/>
  <c r="C64" i="6"/>
  <c r="D64" i="6"/>
  <c r="E64" i="6"/>
  <c r="F64" i="6"/>
  <c r="B64" i="6"/>
  <c r="C63" i="6"/>
  <c r="D63" i="6"/>
  <c r="E63" i="6"/>
  <c r="F63" i="6"/>
  <c r="B63" i="6"/>
  <c r="B62" i="6"/>
  <c r="C62" i="6"/>
  <c r="D62" i="6"/>
  <c r="E62" i="6"/>
  <c r="F62" i="6"/>
  <c r="C61" i="6"/>
  <c r="D61" i="6"/>
  <c r="E61" i="6"/>
  <c r="F61" i="6"/>
  <c r="B61" i="6"/>
  <c r="B59" i="6"/>
  <c r="D60" i="6"/>
  <c r="B60" i="6"/>
  <c r="C59" i="6"/>
  <c r="D59" i="6"/>
  <c r="E59" i="6"/>
  <c r="F59" i="6"/>
  <c r="L53" i="1"/>
  <c r="M53" i="1"/>
  <c r="K53" i="1"/>
  <c r="J53" i="1"/>
  <c r="I53" i="1"/>
  <c r="C55" i="6"/>
  <c r="C56" i="6" s="1"/>
  <c r="D55" i="6"/>
  <c r="D56" i="6" s="1"/>
  <c r="E55" i="6"/>
  <c r="E56" i="6" s="1"/>
  <c r="F55" i="6"/>
  <c r="F56" i="6" s="1"/>
  <c r="B56" i="6"/>
  <c r="C54" i="6"/>
  <c r="C60" i="6" s="1"/>
  <c r="D54" i="6"/>
  <c r="E54" i="6"/>
  <c r="E60" i="6" s="1"/>
  <c r="F54" i="6"/>
  <c r="F60" i="6" s="1"/>
  <c r="B54" i="6"/>
  <c r="C53" i="6"/>
  <c r="D53" i="6"/>
  <c r="E53" i="6"/>
  <c r="F53" i="6"/>
  <c r="B53" i="6"/>
  <c r="C50" i="6"/>
  <c r="D50" i="6"/>
  <c r="E50" i="6"/>
  <c r="F50" i="6"/>
  <c r="B50" i="6"/>
  <c r="C49" i="6"/>
  <c r="D49" i="6"/>
  <c r="E49" i="6"/>
  <c r="F49" i="6"/>
  <c r="B49" i="6"/>
  <c r="C48" i="6"/>
  <c r="D48" i="6"/>
  <c r="E48" i="6"/>
  <c r="F48" i="6"/>
  <c r="B48" i="6"/>
  <c r="C47" i="6"/>
  <c r="D47" i="6"/>
  <c r="E47" i="6"/>
  <c r="F47" i="6"/>
  <c r="B47" i="6"/>
  <c r="C46" i="6"/>
  <c r="D46" i="6"/>
  <c r="E46" i="6"/>
  <c r="F46" i="6"/>
  <c r="B46" i="6"/>
  <c r="C45" i="6"/>
  <c r="D45" i="6"/>
  <c r="E45" i="6"/>
  <c r="F45" i="6"/>
  <c r="B45" i="6"/>
  <c r="C44" i="6"/>
  <c r="D44" i="6"/>
  <c r="E44" i="6"/>
  <c r="F44" i="6"/>
  <c r="B44" i="6"/>
  <c r="C29" i="6"/>
  <c r="B28" i="6"/>
  <c r="C28" i="6"/>
  <c r="C41" i="6"/>
  <c r="D41" i="6"/>
  <c r="E41" i="6"/>
  <c r="F41" i="6"/>
  <c r="B41" i="6"/>
  <c r="D40" i="6"/>
  <c r="E40" i="6"/>
  <c r="F40" i="6"/>
  <c r="C40" i="6"/>
  <c r="B40" i="6"/>
  <c r="C39" i="6"/>
  <c r="D39" i="6"/>
  <c r="E39" i="6"/>
  <c r="F39" i="6"/>
  <c r="B39" i="6"/>
  <c r="C38" i="6"/>
  <c r="D38" i="6"/>
  <c r="E38" i="6"/>
  <c r="F38" i="6"/>
  <c r="B38" i="6"/>
  <c r="C37" i="6"/>
  <c r="D37" i="6"/>
  <c r="E37" i="6"/>
  <c r="F37" i="6"/>
  <c r="C34" i="6"/>
  <c r="D34" i="6"/>
  <c r="E34" i="6"/>
  <c r="F34" i="6"/>
  <c r="B34" i="6"/>
  <c r="C33" i="6"/>
  <c r="D33" i="6"/>
  <c r="E33" i="6"/>
  <c r="F33" i="6"/>
  <c r="B33" i="6"/>
  <c r="D32" i="6"/>
  <c r="E32" i="6"/>
  <c r="F32" i="6"/>
  <c r="C32" i="6"/>
  <c r="D31" i="6"/>
  <c r="E31" i="6"/>
  <c r="F31" i="6"/>
  <c r="C31" i="6"/>
  <c r="C30" i="6"/>
  <c r="D30" i="6"/>
  <c r="E30" i="6"/>
  <c r="F30" i="6"/>
  <c r="B30" i="6"/>
  <c r="D29" i="6"/>
  <c r="E29" i="6"/>
  <c r="F29" i="6"/>
  <c r="D28" i="6"/>
  <c r="E28" i="6"/>
  <c r="F28" i="6"/>
  <c r="C27" i="6"/>
  <c r="D27" i="6"/>
  <c r="E27" i="6"/>
  <c r="F27" i="6"/>
  <c r="B27" i="6"/>
  <c r="C18" i="6"/>
  <c r="D18" i="6"/>
  <c r="E18" i="6"/>
  <c r="F18" i="6"/>
  <c r="B18" i="6"/>
  <c r="B17" i="6"/>
  <c r="C17" i="6"/>
  <c r="D17" i="6"/>
  <c r="E17" i="6"/>
  <c r="F17" i="6"/>
  <c r="B16" i="6"/>
  <c r="C16" i="6"/>
  <c r="D16" i="6"/>
  <c r="E16" i="6"/>
  <c r="F16" i="6"/>
  <c r="C24" i="6"/>
  <c r="D24" i="6"/>
  <c r="E24" i="6"/>
  <c r="F24" i="6"/>
  <c r="B24" i="6"/>
  <c r="C23" i="6"/>
  <c r="D23" i="6"/>
  <c r="E23" i="6"/>
  <c r="F23" i="6"/>
  <c r="B23" i="6"/>
  <c r="C22" i="6"/>
  <c r="D22" i="6"/>
  <c r="E22" i="6"/>
  <c r="F22" i="6"/>
  <c r="B22" i="6"/>
  <c r="F21" i="6"/>
  <c r="E21" i="6"/>
  <c r="D21" i="6"/>
  <c r="C21" i="6"/>
  <c r="B21" i="6"/>
  <c r="C20" i="6"/>
  <c r="D20" i="6"/>
  <c r="E20" i="6"/>
  <c r="F20" i="6"/>
  <c r="B20" i="6"/>
  <c r="F19" i="6"/>
  <c r="E19" i="6"/>
  <c r="D19" i="6"/>
  <c r="C19" i="6"/>
  <c r="B19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8" i="6"/>
  <c r="E8" i="6"/>
  <c r="D8" i="6"/>
  <c r="C8" i="6"/>
  <c r="B8" i="6"/>
  <c r="F7" i="6"/>
  <c r="E7" i="6"/>
  <c r="D7" i="6"/>
  <c r="C7" i="6"/>
  <c r="F6" i="6"/>
  <c r="E6" i="6"/>
  <c r="D6" i="6"/>
  <c r="C6" i="6"/>
  <c r="B6" i="6"/>
  <c r="F5" i="6"/>
  <c r="E5" i="6"/>
  <c r="D5" i="6"/>
  <c r="C5" i="6"/>
  <c r="B5" i="6"/>
  <c r="B4" i="6"/>
  <c r="F4" i="6"/>
  <c r="E4" i="6"/>
  <c r="D4" i="6"/>
  <c r="C4" i="6"/>
  <c r="L15" i="11" l="1"/>
  <c r="N15" i="11" s="1"/>
  <c r="M15" i="11"/>
  <c r="F16" i="11"/>
  <c r="G16" i="11" s="1"/>
  <c r="K16" i="11" s="1"/>
  <c r="J17" i="11"/>
  <c r="E17" i="11"/>
  <c r="A58" i="4" a="1"/>
  <c r="A58" i="4" s="1"/>
  <c r="A57" i="4" a="1"/>
  <c r="A57" i="4" s="1"/>
  <c r="A56" i="4" a="1"/>
  <c r="A56" i="4" s="1"/>
  <c r="A55" i="4" a="1"/>
  <c r="A55" i="4" s="1"/>
  <c r="C6" i="2"/>
  <c r="C67" i="6" s="1"/>
  <c r="D6" i="2"/>
  <c r="E6" i="2"/>
  <c r="F6" i="2"/>
  <c r="F17" i="11" l="1"/>
  <c r="G17" i="11"/>
  <c r="M16" i="11"/>
  <c r="L16" i="11"/>
  <c r="N16" i="11" s="1"/>
  <c r="M17" i="11" l="1"/>
  <c r="M19" i="11" s="1"/>
  <c r="L17" i="11"/>
  <c r="N17" i="11" s="1"/>
  <c r="N19" i="11" s="1"/>
  <c r="M20" i="11" l="1"/>
  <c r="O13" i="11" s="1"/>
  <c r="P13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<sst xmlns="http://schemas.openxmlformats.org/spreadsheetml/2006/main" count="572" uniqueCount="405">
  <si>
    <t>Statement of Financial Position</t>
  </si>
  <si>
    <t/>
  </si>
  <si>
    <t>Total Non-Current Assets</t>
  </si>
  <si>
    <t>Inventory</t>
  </si>
  <si>
    <t>Total Assets (Including Intangible Assets)</t>
  </si>
  <si>
    <t>Total Equity</t>
  </si>
  <si>
    <t>Other Non-Current Liabilities</t>
  </si>
  <si>
    <t>Total Liabilities</t>
  </si>
  <si>
    <t>Total Equity and Liabilities</t>
  </si>
  <si>
    <t>Income Statement</t>
  </si>
  <si>
    <t>Turnover</t>
  </si>
  <si>
    <t>% Change in Turnover</t>
  </si>
  <si>
    <t>Cost of Sales</t>
  </si>
  <si>
    <t>Gross Profit</t>
  </si>
  <si>
    <t>Total Income</t>
  </si>
  <si>
    <t>Headline Earnings Per Share</t>
  </si>
  <si>
    <t>Statement of Comprehensive Income</t>
  </si>
  <si>
    <t>Cash Flow Statement</t>
  </si>
  <si>
    <t>Cash Flow - Supplementary Statement</t>
  </si>
  <si>
    <t>Minority Dividends (Ordinary)</t>
  </si>
  <si>
    <t>Net Intangible Assets Movements</t>
  </si>
  <si>
    <t>Preference Shares Issued by the Company</t>
  </si>
  <si>
    <t>Share Incentive Trust Options Exercised</t>
  </si>
  <si>
    <t>Minority Dividends (Preference)</t>
  </si>
  <si>
    <t>Value Added Statement</t>
  </si>
  <si>
    <t>Number of Employees</t>
  </si>
  <si>
    <t>Sundry Data Statement</t>
  </si>
  <si>
    <t>Ordinary Shares in Issue @ Year End Split Adjusted</t>
  </si>
  <si>
    <t>Nr of Ordinary Shares in Issue @ Year End</t>
  </si>
  <si>
    <t>Months Covered by Financial Statements</t>
  </si>
  <si>
    <t>Month of Financial Year End</t>
  </si>
  <si>
    <t>Inflation Adjusted Other Fixed Asset</t>
  </si>
  <si>
    <t>Inflation Adjusted Depreciable  Fixed Asset</t>
  </si>
  <si>
    <t>No of Quoted Subsidiaries</t>
  </si>
  <si>
    <t>Directors Shareholding Beneficial</t>
  </si>
  <si>
    <t>Directors Shareholding Non-Beneficial</t>
  </si>
  <si>
    <t>Deferred Tax for Year</t>
  </si>
  <si>
    <t>Items Not Representing Cashflow</t>
  </si>
  <si>
    <t>No Persons Employed</t>
  </si>
  <si>
    <t>Foreign Employees</t>
  </si>
  <si>
    <t>Inventory: Raw Material</t>
  </si>
  <si>
    <t>Inventory: Finished Goods</t>
  </si>
  <si>
    <t>Inventory: Merchandise</t>
  </si>
  <si>
    <t>Inventory: Consumable Stores</t>
  </si>
  <si>
    <t>Inventory: Work in Progress</t>
  </si>
  <si>
    <t>Inventory: Uncompleted Contracts</t>
  </si>
  <si>
    <t>Number of Analyst</t>
  </si>
  <si>
    <t>Capital Commitments</t>
  </si>
  <si>
    <t>Average Price Per Share</t>
  </si>
  <si>
    <t>Share Price @ Company Financial Year End</t>
  </si>
  <si>
    <t>Currency Adjustment: R1000 to ?</t>
  </si>
  <si>
    <t>Creditors</t>
  </si>
  <si>
    <t>Leasehold Commitments</t>
  </si>
  <si>
    <t>Contingent Liabilities</t>
  </si>
  <si>
    <t>No of Shares Traded</t>
  </si>
  <si>
    <t>No of Transactions</t>
  </si>
  <si>
    <t>Value of Transactions</t>
  </si>
  <si>
    <t>Split Factor</t>
  </si>
  <si>
    <t>Month of Stock  Split</t>
  </si>
  <si>
    <t>Liquidity</t>
  </si>
  <si>
    <t>Cash Ratio</t>
  </si>
  <si>
    <t>Current Ratio</t>
  </si>
  <si>
    <t>Quick Ratio</t>
  </si>
  <si>
    <t>Cash Flow Analysis</t>
  </si>
  <si>
    <t>Operating Efficiency</t>
  </si>
  <si>
    <t xml:space="preserve">Inventory turnover </t>
  </si>
  <si>
    <t>Trade receivables turnover time (days)</t>
  </si>
  <si>
    <t xml:space="preserve">Total asset turnover </t>
  </si>
  <si>
    <t xml:space="preserve">Fixed assets turnover </t>
  </si>
  <si>
    <t xml:space="preserve"> </t>
  </si>
  <si>
    <t xml:space="preserve">Growth potential </t>
  </si>
  <si>
    <t>Financial Leverage</t>
  </si>
  <si>
    <t>Earnings / Share (c)</t>
  </si>
  <si>
    <t>Earnings Yield %</t>
  </si>
  <si>
    <t>Return On Assets %</t>
  </si>
  <si>
    <t>Return On Average Assets %</t>
  </si>
  <si>
    <t>Return On Average Equity %</t>
  </si>
  <si>
    <t>Return On Capital Employed %</t>
  </si>
  <si>
    <t>Return On Equity %</t>
  </si>
  <si>
    <t>Total Assets Turnover</t>
  </si>
  <si>
    <t>Total Debt / Cash Flow</t>
  </si>
  <si>
    <t>Turnover / Employee</t>
  </si>
  <si>
    <t>Adequacy Ratio</t>
  </si>
  <si>
    <t>Cash Flow Less Interest Paid To Income Before Tax</t>
  </si>
  <si>
    <t>Cash Flow Return On Total Net Assets</t>
  </si>
  <si>
    <t>Cash Flow To Capital Redemption</t>
  </si>
  <si>
    <t>Dividend Coverage</t>
  </si>
  <si>
    <t>Interest Coverage</t>
  </si>
  <si>
    <t>Reinvestment Rate</t>
  </si>
  <si>
    <t>Attributable Earnings</t>
  </si>
  <si>
    <t>Earnings / Share</t>
  </si>
  <si>
    <t>Growth In Cash From Operating Activities</t>
  </si>
  <si>
    <t>Total Assets</t>
  </si>
  <si>
    <t>Total Shareholders Interest</t>
  </si>
  <si>
    <t>Enterprise Value / Cash</t>
  </si>
  <si>
    <t>Enterprise Value / EBIT</t>
  </si>
  <si>
    <t>Enterprise Value / EBITDA</t>
  </si>
  <si>
    <t>Enterprise Value / PAT</t>
  </si>
  <si>
    <t>Enterprise Value / Share</t>
  </si>
  <si>
    <t xml:space="preserve">Debt ratio </t>
  </si>
  <si>
    <t>Debt to equity ratio</t>
  </si>
  <si>
    <t>Interest coverage ratio</t>
  </si>
  <si>
    <t xml:space="preserve">Equity ratio </t>
  </si>
  <si>
    <t>Interest burden</t>
  </si>
  <si>
    <t>Shareholders indicators</t>
  </si>
  <si>
    <t>Operating profitability indicators</t>
  </si>
  <si>
    <t>Net working capital to sales</t>
  </si>
  <si>
    <t>Interest Coverage ratio</t>
  </si>
  <si>
    <t xml:space="preserve"> Leverage factor</t>
  </si>
  <si>
    <t>Equity Multiplier</t>
  </si>
  <si>
    <t xml:space="preserve">Shareholders equity </t>
  </si>
  <si>
    <t xml:space="preserve">No. of outstanding shares </t>
  </si>
  <si>
    <t>EBITDA</t>
  </si>
  <si>
    <t>ZAR</t>
  </si>
  <si>
    <t>-</t>
  </si>
  <si>
    <t>JSE:SOL</t>
  </si>
  <si>
    <t>Sasol</t>
  </si>
  <si>
    <t>Selling General &amp; Admin Exp.</t>
  </si>
  <si>
    <t>Exploration/Drilling Costs</t>
  </si>
  <si>
    <t>NA</t>
  </si>
  <si>
    <t>Depreciation &amp; Amort.</t>
  </si>
  <si>
    <t>Impair. of Oil, Gas &amp; Mineral Prop.</t>
  </si>
  <si>
    <t>Other Operating Expense</t>
  </si>
  <si>
    <t xml:space="preserve">        Other Operating Exp., Total</t>
  </si>
  <si>
    <t xml:space="preserve">        Operating Income</t>
  </si>
  <si>
    <t>Interest Expense</t>
  </si>
  <si>
    <t>Interest and Invest. Income</t>
  </si>
  <si>
    <t xml:space="preserve">        Net Interest Exp.</t>
  </si>
  <si>
    <t>Income from Affiliates</t>
  </si>
  <si>
    <t>Currency Exchange Gains</t>
  </si>
  <si>
    <t>Other Non-Operating Inc.</t>
  </si>
  <si>
    <t xml:space="preserve">        EBT Excl Unusual Items</t>
  </si>
  <si>
    <t>Gain (Loss) On Sale Of Invest.</t>
  </si>
  <si>
    <t>Gain (Loss) On Sale Of Assets</t>
  </si>
  <si>
    <t>Asset Writedown</t>
  </si>
  <si>
    <t>Other Unusual Items</t>
  </si>
  <si>
    <t xml:space="preserve">        EBT Incl. Unusual Items</t>
  </si>
  <si>
    <t>Income Tax Expense</t>
  </si>
  <si>
    <t xml:space="preserve">        Earnings from Cont. Ops.</t>
  </si>
  <si>
    <t xml:space="preserve">        Net Income to Company</t>
  </si>
  <si>
    <t>Minority Int. in Earnings</t>
  </si>
  <si>
    <t xml:space="preserve">        Net Income</t>
  </si>
  <si>
    <t xml:space="preserve">        NI to Common Incl Extra Items</t>
  </si>
  <si>
    <t xml:space="preserve">        NI to Common Excl. Extra Items</t>
  </si>
  <si>
    <t>Per Share Items (R)</t>
  </si>
  <si>
    <t>Basic EPS</t>
  </si>
  <si>
    <t>Basic EPS Excl. Extra Items</t>
  </si>
  <si>
    <t>Weighted Avg. Basic Shares Out. (actual)</t>
  </si>
  <si>
    <t>Diluted EPS Incl. Extra Items</t>
  </si>
  <si>
    <t>Diluted EPS Excl. Extra Items</t>
  </si>
  <si>
    <t>Weighted Avg. Diluted Shares Out. (actual)</t>
  </si>
  <si>
    <t>Normalized Basic EPS</t>
  </si>
  <si>
    <t>Normalized Diluted EPS</t>
  </si>
  <si>
    <t>Dividends per Share</t>
  </si>
  <si>
    <t>Payout Ratio (%)</t>
  </si>
  <si>
    <t>NM</t>
  </si>
  <si>
    <t>Shares per Depositary Receipt (actual)</t>
  </si>
  <si>
    <t>Supplemental Items (R000)</t>
  </si>
  <si>
    <t>EBITA</t>
  </si>
  <si>
    <t>EBIT</t>
  </si>
  <si>
    <t>EBITDAR</t>
  </si>
  <si>
    <t>Effective Tax Rate (%)</t>
  </si>
  <si>
    <t>Current Domestic Taxes</t>
  </si>
  <si>
    <t>Current Foreign Taxes</t>
  </si>
  <si>
    <t>Total Current Taxes</t>
  </si>
  <si>
    <t>Deferred Domestic Taxes</t>
  </si>
  <si>
    <t>Deferred Foreign Taxes</t>
  </si>
  <si>
    <t>Total Deferred Taxes</t>
  </si>
  <si>
    <t>Normalized Net Income</t>
  </si>
  <si>
    <t>Interest on Long-Term Debt</t>
  </si>
  <si>
    <t>Supplemental Operating Expense Items (R000)</t>
  </si>
  <si>
    <t>Selling and Marketing Expense</t>
  </si>
  <si>
    <t>Exploration/Drilling Expenses</t>
  </si>
  <si>
    <t>Net Rental Expense, Total</t>
  </si>
  <si>
    <t>Imputed Oper. Lease Interest Exp.</t>
  </si>
  <si>
    <t>Imputed Oper. Lease Depreciation</t>
  </si>
  <si>
    <t>Maintenance &amp; Repair Expenses</t>
  </si>
  <si>
    <t>Stock-Based Comp., SG&amp;A Exp.</t>
  </si>
  <si>
    <t xml:space="preserve">        Stock-Based Comp., Total</t>
  </si>
  <si>
    <t>CIQ Restatement Type Code</t>
  </si>
  <si>
    <t>RS</t>
  </si>
  <si>
    <t>RC</t>
  </si>
  <si>
    <t>O</t>
  </si>
  <si>
    <t>CIQ Calculation Type Code</t>
  </si>
  <si>
    <t>REP</t>
  </si>
  <si>
    <t>Options Outstanding</t>
  </si>
  <si>
    <t>Options Out. at the Begin of Period, Common Stock</t>
  </si>
  <si>
    <t>Options Granted During the Period, Common Stock</t>
  </si>
  <si>
    <t>Options Exercised During the Period, Common Stock</t>
  </si>
  <si>
    <t>Options Cancelled During the Period, Common Stock</t>
  </si>
  <si>
    <t>Options Out. at the End of Period, Common Stock</t>
  </si>
  <si>
    <t>Options Outstanding - All Classes</t>
  </si>
  <si>
    <t>Options Out. at the Beginning of the Period, Total</t>
  </si>
  <si>
    <t>Options Granted During the Period, Total</t>
  </si>
  <si>
    <t>Options Exercised During the Period, Total</t>
  </si>
  <si>
    <t>Options Cancelled During the Period, Total</t>
  </si>
  <si>
    <t>Options Out. at the End of the Period, Total</t>
  </si>
  <si>
    <t>Stock Based Compensation (R000)</t>
  </si>
  <si>
    <t>Stock Based Comp. Exp., Before Tax</t>
  </si>
  <si>
    <t>Capitalized Interest Data (R000)</t>
  </si>
  <si>
    <t>Interest Capitalized During the Period</t>
  </si>
  <si>
    <t>SASOL</t>
  </si>
  <si>
    <t>Other Comprehensive income, net of tax</t>
  </si>
  <si>
    <t xml:space="preserve">Remeasurement on post-retirement benefit obligation </t>
  </si>
  <si>
    <t xml:space="preserve">Tax on items that cannot be subsequently reclassified to the income statement </t>
  </si>
  <si>
    <t xml:space="preserve">Total comprehensive incone for the year </t>
  </si>
  <si>
    <t>Attributable to</t>
  </si>
  <si>
    <t xml:space="preserve">Owners of Sasol South Africa Limited </t>
  </si>
  <si>
    <r>
      <rPr>
        <b/>
        <sz val="11"/>
        <rFont val="Calibri"/>
        <family val="2"/>
      </rPr>
      <t>Items that cannot be subsequently reclassified to the income statement</t>
    </r>
    <r>
      <rPr>
        <sz val="11"/>
        <rFont val="Calibri"/>
        <family val="2"/>
      </rPr>
      <t xml:space="preserve"> </t>
    </r>
  </si>
  <si>
    <t xml:space="preserve">Earnings for the year </t>
  </si>
  <si>
    <t>2020 (Rm)</t>
  </si>
  <si>
    <t>2021(Rm)</t>
  </si>
  <si>
    <t>2022(Rm)</t>
  </si>
  <si>
    <t>2023(Rm)</t>
  </si>
  <si>
    <t>2024(Rm)</t>
  </si>
  <si>
    <r>
      <rPr>
        <b/>
        <sz val="11"/>
        <rFont val="Calibri"/>
        <family val="2"/>
      </rPr>
      <t>Items that can be subsequently reclassified to the income statement</t>
    </r>
    <r>
      <rPr>
        <sz val="11"/>
        <rFont val="Calibri"/>
        <family val="2"/>
      </rPr>
      <t xml:space="preserve"> </t>
    </r>
  </si>
  <si>
    <t xml:space="preserve">Effect of translation of foreign operations </t>
  </si>
  <si>
    <t xml:space="preserve">Effect of cash flow hedges </t>
  </si>
  <si>
    <t>Foreign currency translation reserve on disposal of business reclassified to the income statement</t>
  </si>
  <si>
    <t xml:space="preserve">Tax on items that can be subsequently reclassified to the income statement </t>
  </si>
  <si>
    <t>Fair value of investments through other comprehensive income</t>
  </si>
  <si>
    <t xml:space="preserve">Non-controlling interests in subsidiaries </t>
  </si>
  <si>
    <t>SASOL GROUP LIMITED</t>
  </si>
  <si>
    <t>Assets (R000)</t>
  </si>
  <si>
    <t>Cash and Equivalents</t>
  </si>
  <si>
    <t>Trading Asset Securities</t>
  </si>
  <si>
    <t xml:space="preserve">        Cash &amp; Short-term Investments</t>
  </si>
  <si>
    <t>Accounts Receivable</t>
  </si>
  <si>
    <t>Other Receivables</t>
  </si>
  <si>
    <t xml:space="preserve">        Total Receivables</t>
  </si>
  <si>
    <t>Prepaid Exp.</t>
  </si>
  <si>
    <t>Other Current Assets</t>
  </si>
  <si>
    <t xml:space="preserve">        Total Current Assets</t>
  </si>
  <si>
    <t>Gross Property, Plant &amp; Equipment</t>
  </si>
  <si>
    <t>Accumulated Depreciation</t>
  </si>
  <si>
    <t xml:space="preserve">        Net Property, Plant &amp; Equipment</t>
  </si>
  <si>
    <t>Long-term Investments</t>
  </si>
  <si>
    <t>Other Intangibles</t>
  </si>
  <si>
    <t>Loans Receivable Long-Term</t>
  </si>
  <si>
    <t>Deferred Tax Assets, LT</t>
  </si>
  <si>
    <t>Other Long-Term Assets</t>
  </si>
  <si>
    <t>Liabilities (R000)</t>
  </si>
  <si>
    <t>Accounts Payable</t>
  </si>
  <si>
    <t>Accrued Exp.</t>
  </si>
  <si>
    <t>Short-term Borrowings</t>
  </si>
  <si>
    <t>Curr. Port. of LT Debt</t>
  </si>
  <si>
    <t>Current Portion of Leases</t>
  </si>
  <si>
    <t>Curr. Income Taxes Payable</t>
  </si>
  <si>
    <t>Unearned Revenue, Current</t>
  </si>
  <si>
    <t>Other Current Liabilities</t>
  </si>
  <si>
    <t xml:space="preserve">        Total Current Liabilities</t>
  </si>
  <si>
    <t>Long-Term Debt</t>
  </si>
  <si>
    <t>Long-Term Leases</t>
  </si>
  <si>
    <t>Unearned Revenue, Non-Current</t>
  </si>
  <si>
    <t>Pension &amp; Other Post-Retire. Benefits</t>
  </si>
  <si>
    <t>Def. Tax Liability, Non-Curr.</t>
  </si>
  <si>
    <t>Equity (R000)</t>
  </si>
  <si>
    <t>Common Stock</t>
  </si>
  <si>
    <t>Retained Earnings</t>
  </si>
  <si>
    <t>Comprehensive Inc. and Other</t>
  </si>
  <si>
    <t xml:space="preserve">        Total Common Equity</t>
  </si>
  <si>
    <t>Total Minority Interest</t>
  </si>
  <si>
    <t>Total Liabilities And Equity</t>
  </si>
  <si>
    <t>Supplemental Items (R)</t>
  </si>
  <si>
    <t>ECS Total Shares Outstanding on Filing Date (actual)</t>
  </si>
  <si>
    <t>ECS Total Common Shares Outstanding (actual)</t>
  </si>
  <si>
    <t>Book Value per Share</t>
  </si>
  <si>
    <t>Tangible Book Value</t>
  </si>
  <si>
    <t>Tangible Book Value per Share</t>
  </si>
  <si>
    <t>Total Debt</t>
  </si>
  <si>
    <t>Net Debt</t>
  </si>
  <si>
    <t>Debt Equiv. of Unfunded Proj. Benefit Obligation</t>
  </si>
  <si>
    <t>Debt Equivalent Oper. Leases</t>
  </si>
  <si>
    <t>Equity Method Investments</t>
  </si>
  <si>
    <t>Raw Materials Inventory</t>
  </si>
  <si>
    <t>Work in Progress Inventory</t>
  </si>
  <si>
    <t>Finished Goods Inventory</t>
  </si>
  <si>
    <t>Other Inventory Accounts</t>
  </si>
  <si>
    <t>Land</t>
  </si>
  <si>
    <t>Buildings</t>
  </si>
  <si>
    <t>Machinery</t>
  </si>
  <si>
    <t>Construction in Progress</t>
  </si>
  <si>
    <t>Natural Resources, at Cost</t>
  </si>
  <si>
    <t>Full Time Employees (actual)</t>
  </si>
  <si>
    <t>Accumulated Allowance for Doubtful Accounts</t>
  </si>
  <si>
    <t>NC</t>
  </si>
  <si>
    <t>RUP</t>
  </si>
  <si>
    <t>Loss Carry Forward Related Items (R000)</t>
  </si>
  <si>
    <t>NOL Carryforward, Current Year</t>
  </si>
  <si>
    <t>NOL Carryforward, Current Year + 1</t>
  </si>
  <si>
    <t>NOL Carryforward, Current Year + 2</t>
  </si>
  <si>
    <t>NOL Carryforward, Current Year + 3</t>
  </si>
  <si>
    <t>NOL Carryforward, Current Year + 4</t>
  </si>
  <si>
    <t>NOL Carryforward, After Five Years</t>
  </si>
  <si>
    <t>NOL Carryforward, No Expiration</t>
  </si>
  <si>
    <t>Total NOL Carryforward</t>
  </si>
  <si>
    <t>Fair Value Measurements (R000)</t>
  </si>
  <si>
    <t>Level 1 Assets - Quoted Prices</t>
  </si>
  <si>
    <t>Level 2 Assets - Observable Prices</t>
  </si>
  <si>
    <t>Level 3 Assets - Unobservable Prices</t>
  </si>
  <si>
    <t>Fair Value of Assets</t>
  </si>
  <si>
    <t>Level 1 Liabilities - Quoted Prices</t>
  </si>
  <si>
    <t>Level 2 Liabilities - Observable Prices</t>
  </si>
  <si>
    <t>Level 3 Liabilities - Unobservable Prices</t>
  </si>
  <si>
    <t>Fair Value of Liabilities</t>
  </si>
  <si>
    <t>Sasol Group Limited</t>
  </si>
  <si>
    <t>Operating Activities (R000)</t>
  </si>
  <si>
    <t>Net Income - CF</t>
  </si>
  <si>
    <t xml:space="preserve">        Depreciation &amp; Amort., Total</t>
  </si>
  <si>
    <t>(Gain) Loss From Sale Of Assets</t>
  </si>
  <si>
    <t>Loss On Sale Of Investment</t>
  </si>
  <si>
    <t>Asset Writedown &amp; Restructuring Costs</t>
  </si>
  <si>
    <t>Loss on Equity Investment</t>
  </si>
  <si>
    <t>Stock-Based Compensation</t>
  </si>
  <si>
    <t>Other Operating Activities</t>
  </si>
  <si>
    <t>Change in Acc. Receivable</t>
  </si>
  <si>
    <t>Change In Inventories</t>
  </si>
  <si>
    <t>Change in Acc. Payable</t>
  </si>
  <si>
    <t xml:space="preserve">        Cash from Ops.</t>
  </si>
  <si>
    <t>Investing Activity (R000)</t>
  </si>
  <si>
    <t>Capital Expenditure</t>
  </si>
  <si>
    <t>Sale of Property, Plant and Equipment</t>
  </si>
  <si>
    <t>Divestitures</t>
  </si>
  <si>
    <t>Sale (Purchase) of Intangible assets</t>
  </si>
  <si>
    <t>Invest. in Marketable &amp; Equity Securt.</t>
  </si>
  <si>
    <t>Other Investing Activities</t>
  </si>
  <si>
    <t xml:space="preserve">        Cash from Investing</t>
  </si>
  <si>
    <t>Financing Activity (R000)</t>
  </si>
  <si>
    <t>Short Term Debt Issued</t>
  </si>
  <si>
    <t>Long-Term Debt Issued</t>
  </si>
  <si>
    <t xml:space="preserve">        Total Debt Issued</t>
  </si>
  <si>
    <t>Short Term Debt Repaid</t>
  </si>
  <si>
    <t>Long-Term Debt Repaid</t>
  </si>
  <si>
    <t xml:space="preserve">        Total Debt Repaid</t>
  </si>
  <si>
    <t>Common Dividends Paid</t>
  </si>
  <si>
    <t xml:space="preserve">        Total Dividends Paid</t>
  </si>
  <si>
    <t xml:space="preserve">        Cash from Financing</t>
  </si>
  <si>
    <t>Other Cash Flow (R000)</t>
  </si>
  <si>
    <t>Foreign Exchange Rate Adj.</t>
  </si>
  <si>
    <t>Misc. Cash Flow Adj.</t>
  </si>
  <si>
    <t xml:space="preserve">        Net Change in Cash</t>
  </si>
  <si>
    <t>Cash Interest Paid</t>
  </si>
  <si>
    <t>Cash Taxes Paid</t>
  </si>
  <si>
    <t>Levered Free Cash Flow</t>
  </si>
  <si>
    <t>Unlevered Free Cash Flow</t>
  </si>
  <si>
    <t>Change in Net Working Capital</t>
  </si>
  <si>
    <t>Net Debt Issued</t>
  </si>
  <si>
    <t>JSE:SOL  (SASOL GROUP LIMITED)</t>
  </si>
  <si>
    <t>Market cap</t>
  </si>
  <si>
    <t xml:space="preserve">Net Turnover growth </t>
  </si>
  <si>
    <t>Total Assets growth</t>
  </si>
  <si>
    <t>Cash Flow To Current Liabilities</t>
  </si>
  <si>
    <t>Cash Flow To Net Earnings After Tax</t>
  </si>
  <si>
    <t>Cash Flow To Total Debt</t>
  </si>
  <si>
    <t>Cash Flow To Turnover (Margin)</t>
  </si>
  <si>
    <t>Cash Flow To All Investments</t>
  </si>
  <si>
    <t>Cash Flow To Capital Investments</t>
  </si>
  <si>
    <t>Cash Flow To Financial Investments</t>
  </si>
  <si>
    <t xml:space="preserve">year </t>
  </si>
  <si>
    <t>FCFF</t>
  </si>
  <si>
    <t>Base Case Assumptions</t>
  </si>
  <si>
    <t>WACC</t>
  </si>
  <si>
    <t>SA risk premium and Sasols Beta</t>
  </si>
  <si>
    <t xml:space="preserve">Terminal Growth </t>
  </si>
  <si>
    <t>SA GDP + Inflation</t>
  </si>
  <si>
    <t xml:space="preserve">Tax rate </t>
  </si>
  <si>
    <t>SA corporate rate</t>
  </si>
  <si>
    <t xml:space="preserve">Projections </t>
  </si>
  <si>
    <t xml:space="preserve">Revenue </t>
  </si>
  <si>
    <t xml:space="preserve">EBITDA Margin </t>
  </si>
  <si>
    <t xml:space="preserve">Depreciation </t>
  </si>
  <si>
    <t>R14.5 billion</t>
  </si>
  <si>
    <t>maintanence Capex</t>
  </si>
  <si>
    <t>change in NWZ of change in Revenue</t>
  </si>
  <si>
    <t xml:space="preserve">EBIT </t>
  </si>
  <si>
    <t>TAX</t>
  </si>
  <si>
    <t>NOPAT</t>
  </si>
  <si>
    <t>D&amp;A</t>
  </si>
  <si>
    <t>CAPEX</t>
  </si>
  <si>
    <t>CHANGE NWC</t>
  </si>
  <si>
    <t xml:space="preserve">Terminal Value </t>
  </si>
  <si>
    <t xml:space="preserve">pv of terminal value </t>
  </si>
  <si>
    <t xml:space="preserve">sum  </t>
  </si>
  <si>
    <t xml:space="preserve">enterprise value </t>
  </si>
  <si>
    <t xml:space="preserve">Present value FCFF </t>
  </si>
  <si>
    <t>Net Debt (2024)</t>
  </si>
  <si>
    <t xml:space="preserve">Equity Value </t>
  </si>
  <si>
    <t xml:space="preserve">intrinsic value per share </t>
  </si>
  <si>
    <t xml:space="preserve">Gordon Growth Model </t>
  </si>
  <si>
    <t>Base assumptions</t>
  </si>
  <si>
    <t>Cost of Equity</t>
  </si>
  <si>
    <t xml:space="preserve">Levered Free Cash Flow </t>
  </si>
  <si>
    <t xml:space="preserve"> Growth</t>
  </si>
  <si>
    <t>from the cash flow statement</t>
  </si>
  <si>
    <t>base situation</t>
  </si>
  <si>
    <t>CAPM RF=9% + B1.2*6.25</t>
  </si>
  <si>
    <t xml:space="preserve">Expected Levered Free cashflow </t>
  </si>
  <si>
    <t xml:space="preserve">intrinsic value </t>
  </si>
  <si>
    <t>Force</t>
  </si>
  <si>
    <t>Score%</t>
  </si>
  <si>
    <t>New Entrants</t>
  </si>
  <si>
    <t>Suppliers</t>
  </si>
  <si>
    <t>Power of Buyers</t>
  </si>
  <si>
    <t xml:space="preserve">Substituions </t>
  </si>
  <si>
    <t xml:space="preserve">Industry rivals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</si>
</sst>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;[Red]\(#,##0\)"/>
    <numFmt numFmtId="166" formatCode="#,##0.00;[Red]\(#,##0.00\)"/>
    <numFmt numFmtId="167" formatCode="0.00000000000E+00"/>
  </numFmts>
  <fonts count="9">
    <font>
      <sz val="11"/>
      <name val="Calibri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theme="4" tint="-0.249977111117893"/>
      <name val="Calibri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1" fillId="4" borderId="0" xfId="0" applyFont="1" applyFill="1"/>
    <xf numFmtId="0" fontId="0" fillId="4" borderId="0" xfId="0" applyFill="1"/>
    <xf numFmtId="0" fontId="4" fillId="4" borderId="0" xfId="0" applyFont="1" applyFill="1"/>
    <xf numFmtId="0" fontId="2" fillId="3" borderId="0" xfId="0" applyFont="1" applyFill="1"/>
    <xf numFmtId="0" fontId="2" fillId="4" borderId="0" xfId="0" applyFont="1" applyFill="1"/>
    <xf numFmtId="164" fontId="3" fillId="0" borderId="0" xfId="0" applyNumberFormat="1" applyFont="1"/>
    <xf numFmtId="0" fontId="4" fillId="0" borderId="1" xfId="0" applyFont="1" applyBorder="1"/>
    <xf numFmtId="0" fontId="1" fillId="4" borderId="2" xfId="0" applyFont="1" applyFill="1" applyBorder="1"/>
    <xf numFmtId="0" fontId="1" fillId="4" borderId="5" xfId="0" applyFont="1" applyFill="1" applyBorder="1"/>
    <xf numFmtId="0" fontId="0" fillId="4" borderId="6" xfId="0" applyFill="1" applyBorder="1"/>
    <xf numFmtId="0" fontId="0" fillId="4" borderId="7" xfId="0" applyFill="1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4" fillId="4" borderId="3" xfId="0" applyFont="1" applyFill="1" applyBorder="1"/>
    <xf numFmtId="0" fontId="4" fillId="4" borderId="4" xfId="0" applyFont="1" applyFill="1" applyBorder="1"/>
    <xf numFmtId="165" fontId="0" fillId="0" borderId="1" xfId="0" applyNumberFormat="1" applyBorder="1"/>
    <xf numFmtId="165" fontId="5" fillId="0" borderId="0" xfId="1" applyNumberFormat="1" applyAlignment="1">
      <alignment horizontal="right" vertical="top" wrapText="1"/>
    </xf>
    <xf numFmtId="165" fontId="1" fillId="0" borderId="1" xfId="0" applyNumberFormat="1" applyFont="1" applyBorder="1"/>
    <xf numFmtId="0" fontId="4" fillId="2" borderId="2" xfId="0" applyFont="1" applyFill="1" applyBorder="1"/>
    <xf numFmtId="0" fontId="4" fillId="2" borderId="8" xfId="0" applyFont="1" applyFill="1" applyBorder="1"/>
    <xf numFmtId="166" fontId="0" fillId="0" borderId="1" xfId="0" applyNumberFormat="1" applyBorder="1"/>
    <xf numFmtId="166" fontId="1" fillId="0" borderId="1" xfId="0" applyNumberFormat="1" applyFont="1" applyBorder="1"/>
    <xf numFmtId="166" fontId="0" fillId="0" borderId="0" xfId="0" applyNumberFormat="1"/>
    <xf numFmtId="165" fontId="0" fillId="0" borderId="0" xfId="0" applyNumberFormat="1"/>
    <xf numFmtId="0" fontId="4" fillId="2" borderId="0" xfId="0" applyFont="1" applyFill="1"/>
    <xf numFmtId="0" fontId="4" fillId="5" borderId="0" xfId="0" applyFont="1" applyFill="1"/>
    <xf numFmtId="0" fontId="6" fillId="0" borderId="0" xfId="0" applyFont="1"/>
    <xf numFmtId="0" fontId="7" fillId="0" borderId="0" xfId="0" applyFont="1"/>
    <xf numFmtId="0" fontId="8" fillId="0" borderId="0" xfId="1" applyFont="1" applyAlignment="1">
      <alignment horizontal="left" vertical="top"/>
    </xf>
    <xf numFmtId="0" fontId="5" fillId="0" borderId="0" xfId="1" applyAlignment="1">
      <alignment horizontal="right" vertical="top" wrapText="1"/>
    </xf>
    <xf numFmtId="0" fontId="5" fillId="0" borderId="0" xfId="1" applyAlignment="1">
      <alignment horizontal="left" vertical="top"/>
    </xf>
    <xf numFmtId="167" fontId="0" fillId="0" borderId="0" xfId="0" applyNumberFormat="1"/>
    <xf numFmtId="10" fontId="0" fillId="0" borderId="0" xfId="0" applyNumberFormat="1"/>
    <xf numFmtId="3" fontId="0" fillId="0" borderId="0" xfId="0" applyNumberFormat="1"/>
    <xf numFmtId="9" fontId="0" fillId="0" borderId="1" xfId="0" applyNumberFormat="1" applyBorder="1"/>
    <xf numFmtId="10" fontId="0" fillId="0" borderId="1" xfId="0" applyNumberFormat="1" applyBorder="1"/>
    <xf numFmtId="0" fontId="4" fillId="6" borderId="0" xfId="0" applyFont="1" applyFill="1"/>
    <xf numFmtId="0" fontId="4" fillId="7" borderId="0" xfId="0" applyFont="1" applyFill="1"/>
    <xf numFmtId="9" fontId="3" fillId="0" borderId="0" xfId="0" applyNumberFormat="1" applyFont="1"/>
  </cellXfs>
  <cellStyles count="2">
    <cellStyle name="Normal" xfId="0" builtinId="0"/>
    <cellStyle name="Normal 2" xfId="1" xr:uid="{619F39D4-9167-224C-87D8-0A60169383F6}"/>
  </cellStyles>
  <dxfs count="0"/>
  <tableStyles count="0" defaultTableStyle="TableStyleMedium2" defaultPivotStyle="PivotStyleLight16"/>
  <colors>
    <mruColors>
      <color rgb="FFFFE338"/>
      <color rgb="FFFF7A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Turnover vs. Cost of Sale vs. Gross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SOIC!$A$5</c:f>
              <c:strCache>
                <c:ptCount val="1"/>
                <c:pt idx="0">
                  <c:v>Turnover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SOIC!$B$4:$F$4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SOIC!$B$5:$F$5</c:f>
              <c:numCache>
                <c:formatCode>#,##0;[Red]\(#,##0\)</c:formatCode>
                <c:ptCount val="5"/>
                <c:pt idx="0">
                  <c:v>190367000</c:v>
                </c:pt>
                <c:pt idx="1">
                  <c:v>201910000</c:v>
                </c:pt>
                <c:pt idx="2">
                  <c:v>272746000</c:v>
                </c:pt>
                <c:pt idx="3">
                  <c:v>289696000</c:v>
                </c:pt>
                <c:pt idx="4">
                  <c:v>275111000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9-44E3-A02F-AF66337715A1}"/>
            </c:ext>
          </c:extLst>
        </c:ser>
        <c:ser>
          <c:idx val="2"/>
          <c:order val="2"/>
          <c:tx>
            <c:strRef>
              <c:f>SOIC!$A$7</c:f>
              <c:strCache>
                <c:ptCount val="1"/>
                <c:pt idx="0">
                  <c:v>Cost of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SOIC!$B$4:$F$4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SOIC!$B$7:$F$7</c:f>
              <c:numCache>
                <c:formatCode>#,##0;[Red]\(#,##0\)</c:formatCode>
                <c:ptCount val="5"/>
                <c:pt idx="0">
                  <c:v>100602000</c:v>
                </c:pt>
                <c:pt idx="1">
                  <c:v>97485000</c:v>
                </c:pt>
                <c:pt idx="2">
                  <c:v>137321000</c:v>
                </c:pt>
                <c:pt idx="3">
                  <c:v>167373000</c:v>
                </c:pt>
                <c:pt idx="4">
                  <c:v>153403000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D9-44E3-A02F-AF6633771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4003295"/>
        <c:axId val="22399372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SOIC!$A$6</c15:sqref>
                        </c15:formulaRef>
                      </c:ext>
                    </c:extLst>
                    <c:strCache>
                      <c:ptCount val="1"/>
                      <c:pt idx="0">
                        <c:v>% Change in Turnover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SOIC!$B$4:$F$4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SOIC!$B$6:$F$6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6.0635509305709494</c:v>
                      </c:pt>
                      <c:pt idx="2">
                        <c:v>35.082957753454508</c:v>
                      </c:pt>
                      <c:pt idx="3">
                        <c:v>6.2145732659690704</c:v>
                      </c:pt>
                      <c:pt idx="4">
                        <c:v>-5.0345879818844574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3D9-44E3-A02F-AF66337715A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SOIC!$A$9</c15:sqref>
                        </c15:formulaRef>
                      </c:ext>
                    </c:extLst>
                    <c:strCache>
                      <c:ptCount val="1"/>
                      <c:pt idx="0">
                        <c:v>Total Income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SOIC!$B$4:$F$4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SOIC!$B$9:$F$9</c15:sqref>
                        </c15:formulaRef>
                      </c:ext>
                    </c:extLst>
                    <c:numCache>
                      <c:formatCode>#,##0;[Red]\(#,##0\)</c:formatCode>
                      <c:ptCount val="5"/>
                      <c:pt idx="0">
                        <c:v>89765000</c:v>
                      </c:pt>
                      <c:pt idx="1">
                        <c:v>104425000</c:v>
                      </c:pt>
                      <c:pt idx="2">
                        <c:v>135425000</c:v>
                      </c:pt>
                      <c:pt idx="3">
                        <c:v>122323000</c:v>
                      </c:pt>
                      <c:pt idx="4">
                        <c:v>121708000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D9-44E3-A02F-AF66337715A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SOIC!$A$8</c:f>
              <c:strCache>
                <c:ptCount val="1"/>
                <c:pt idx="0">
                  <c:v>Gross Profit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SOIC!$B$4:$F$4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SOIC!$B$8:$F$8</c:f>
              <c:numCache>
                <c:formatCode>#,##0;[Red]\(#,##0\)</c:formatCode>
                <c:ptCount val="5"/>
                <c:pt idx="0">
                  <c:v>89765000</c:v>
                </c:pt>
                <c:pt idx="1">
                  <c:v>104425000</c:v>
                </c:pt>
                <c:pt idx="2">
                  <c:v>135425000</c:v>
                </c:pt>
                <c:pt idx="3">
                  <c:v>122323000</c:v>
                </c:pt>
                <c:pt idx="4">
                  <c:v>121708000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D9-44E3-A02F-AF6633771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003295"/>
        <c:axId val="223993727"/>
      </c:lineChart>
      <c:catAx>
        <c:axId val="22400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93727"/>
        <c:crosses val="autoZero"/>
        <c:auto val="1"/>
        <c:lblAlgn val="ctr"/>
        <c:lblOffset val="100"/>
        <c:noMultiLvlLbl val="0"/>
      </c:catAx>
      <c:valAx>
        <c:axId val="2239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0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EBITDA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SOIC!$B$4:$F$4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SOIC!$B$52:$F$52</c:f>
              <c:numCache>
                <c:formatCode>#,##0;[Red]\(#,##0\)</c:formatCode>
                <c:ptCount val="5"/>
                <c:pt idx="0">
                  <c:v>35601000</c:v>
                </c:pt>
                <c:pt idx="1">
                  <c:v>43290000</c:v>
                </c:pt>
                <c:pt idx="2">
                  <c:v>64472000</c:v>
                </c:pt>
                <c:pt idx="3">
                  <c:v>68737000</c:v>
                </c:pt>
                <c:pt idx="4">
                  <c:v>57879000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9C-429C-9FB6-6AA5C2EDF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989167"/>
        <c:axId val="2101987919"/>
      </c:lineChart>
      <c:catAx>
        <c:axId val="21019891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87919"/>
        <c:crosses val="autoZero"/>
        <c:auto val="1"/>
        <c:lblAlgn val="ctr"/>
        <c:lblOffset val="100"/>
        <c:noMultiLvlLbl val="0"/>
      </c:catAx>
      <c:valAx>
        <c:axId val="21019879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8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EBITDA vs. 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EBITDA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SOIC!$Q$50:$U$50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SOIC!$Q$51:$U$51</c:f>
              <c:numCache>
                <c:formatCode>#,##0;[Red]\(#,##0\)</c:formatCode>
                <c:ptCount val="5"/>
                <c:pt idx="0">
                  <c:v>35601000</c:v>
                </c:pt>
                <c:pt idx="1">
                  <c:v>43290000</c:v>
                </c:pt>
                <c:pt idx="2">
                  <c:v>64472000</c:v>
                </c:pt>
                <c:pt idx="3">
                  <c:v>68737000</c:v>
                </c:pt>
                <c:pt idx="4">
                  <c:v>57879000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7-4474-90F2-1FC72CAA4385}"/>
            </c:ext>
          </c:extLst>
        </c:ser>
        <c:ser>
          <c:idx val="1"/>
          <c:order val="1"/>
          <c:tx>
            <c:v>Turnover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SOIC!$Q$50:$U$50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SOIC!$Q$52:$U$52</c:f>
              <c:numCache>
                <c:formatCode>#,##0;[Red]\(#,##0\)</c:formatCode>
                <c:ptCount val="5"/>
                <c:pt idx="0">
                  <c:v>190367000</c:v>
                </c:pt>
                <c:pt idx="1">
                  <c:v>201910000</c:v>
                </c:pt>
                <c:pt idx="2">
                  <c:v>272746000</c:v>
                </c:pt>
                <c:pt idx="3">
                  <c:v>289696000</c:v>
                </c:pt>
                <c:pt idx="4">
                  <c:v>275111000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47-4474-90F2-1FC72CAA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1061839"/>
        <c:axId val="2111062671"/>
      </c:barChart>
      <c:catAx>
        <c:axId val="211106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62671"/>
        <c:crosses val="autoZero"/>
        <c:auto val="1"/>
        <c:lblAlgn val="ctr"/>
        <c:lblOffset val="100"/>
        <c:noMultiLvlLbl val="0"/>
      </c:catAx>
      <c:valAx>
        <c:axId val="211106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6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SOIC!$A$6</c:f>
              <c:strCache>
                <c:ptCount val="1"/>
                <c:pt idx="0">
                  <c:v>% Change in Turnover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SOIC!$B$3:$F$4</c:f>
              <c:multiLvlStrCache>
                <c:ptCount val="5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</c:lvl>
                <c:lvl>
                  <c:pt idx="0">
                    <c:v>ZAR</c:v>
                  </c:pt>
                  <c:pt idx="1">
                    <c:v>ZAR</c:v>
                  </c:pt>
                  <c:pt idx="2">
                    <c:v>ZAR</c:v>
                  </c:pt>
                  <c:pt idx="3">
                    <c:v>ZAR</c:v>
                  </c:pt>
                  <c:pt idx="4">
                    <c:v>ZAR</c:v>
                  </c:pt>
                </c:lvl>
              </c:multiLvlStrCache>
            </c:multiLvlStrRef>
          </c:cat>
          <c:val>
            <c:numRef>
              <c:f>SOIC!$B$6:$F$6</c:f>
              <c:numCache>
                <c:formatCode>General</c:formatCode>
                <c:ptCount val="5"/>
                <c:pt idx="0">
                  <c:v>0</c:v>
                </c:pt>
                <c:pt idx="1">
                  <c:v>6.0635509305709494</c:v>
                </c:pt>
                <c:pt idx="2">
                  <c:v>35.082957753454508</c:v>
                </c:pt>
                <c:pt idx="3">
                  <c:v>6.2145732659690704</c:v>
                </c:pt>
                <c:pt idx="4">
                  <c:v>-5.0345879818844574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C4-468C-9386-D314E2A5B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68352"/>
        <c:axId val="8670687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SOIC!$A$5</c15:sqref>
                        </c15:formulaRef>
                      </c:ext>
                    </c:extLst>
                    <c:strCache>
                      <c:ptCount val="1"/>
                      <c:pt idx="0">
                        <c:v>Turnover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SOIC!$B$3:$F$4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2020</c:v>
                        </c:pt>
                        <c:pt idx="1">
                          <c:v>2021</c:v>
                        </c:pt>
                        <c:pt idx="2">
                          <c:v>2022</c:v>
                        </c:pt>
                        <c:pt idx="3">
                          <c:v>2023</c:v>
                        </c:pt>
                        <c:pt idx="4">
                          <c:v>2024</c:v>
                        </c:pt>
                      </c:lvl>
                      <c:lvl>
                        <c:pt idx="0">
                          <c:v>ZAR</c:v>
                        </c:pt>
                        <c:pt idx="1">
                          <c:v>ZAR</c:v>
                        </c:pt>
                        <c:pt idx="2">
                          <c:v>ZAR</c:v>
                        </c:pt>
                        <c:pt idx="3">
                          <c:v>ZAR</c:v>
                        </c:pt>
                        <c:pt idx="4">
                          <c:v>ZAR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SOIC!$B$5:$F$5</c15:sqref>
                        </c15:formulaRef>
                      </c:ext>
                    </c:extLst>
                    <c:numCache>
                      <c:formatCode>#,##0;[Red]\(#,##0\)</c:formatCode>
                      <c:ptCount val="5"/>
                      <c:pt idx="0">
                        <c:v>190367000</c:v>
                      </c:pt>
                      <c:pt idx="1">
                        <c:v>201910000</c:v>
                      </c:pt>
                      <c:pt idx="2">
                        <c:v>272746000</c:v>
                      </c:pt>
                      <c:pt idx="3">
                        <c:v>289696000</c:v>
                      </c:pt>
                      <c:pt idx="4">
                        <c:v>275111000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5C4-468C-9386-D314E2A5B891}"/>
                  </c:ext>
                </c:extLst>
              </c15:ser>
            </c15:filteredLineSeries>
          </c:ext>
        </c:extLst>
      </c:lineChart>
      <c:catAx>
        <c:axId val="867068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068768"/>
        <c:crosses val="autoZero"/>
        <c:auto val="1"/>
        <c:lblAlgn val="ctr"/>
        <c:lblOffset val="100"/>
        <c:noMultiLvlLbl val="0"/>
      </c:catAx>
      <c:valAx>
        <c:axId val="8670687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0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Financial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SOFP!$A$97</c:f>
              <c:strCache>
                <c:ptCount val="1"/>
                <c:pt idx="0">
                  <c:v>Total Assets (Including Intangible Assets)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SOFP!$B$95:$F$95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SOFP!$B$97:$F$97</c:f>
              <c:numCache>
                <c:formatCode>#,##0;[Red]\(#,##0\)</c:formatCode>
                <c:ptCount val="5"/>
                <c:pt idx="0">
                  <c:v>474535000</c:v>
                </c:pt>
                <c:pt idx="1">
                  <c:v>360743000</c:v>
                </c:pt>
                <c:pt idx="2">
                  <c:v>419548000</c:v>
                </c:pt>
                <c:pt idx="3">
                  <c:v>433838000</c:v>
                </c:pt>
                <c:pt idx="4">
                  <c:v>364980000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C4-4025-B32A-6AF7DD5CFF8E}"/>
            </c:ext>
          </c:extLst>
        </c:ser>
        <c:ser>
          <c:idx val="2"/>
          <c:order val="2"/>
          <c:tx>
            <c:strRef>
              <c:f>SOFP!$A$98</c:f>
              <c:strCache>
                <c:ptCount val="1"/>
                <c:pt idx="0">
                  <c:v>Total Equity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SOFP!$B$95:$F$95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SOFP!$B$98:$F$98</c:f>
              <c:numCache>
                <c:formatCode>#,##0;[Red]\(#,##0\)</c:formatCode>
                <c:ptCount val="5"/>
                <c:pt idx="0">
                  <c:v>155917000</c:v>
                </c:pt>
                <c:pt idx="1">
                  <c:v>152471000</c:v>
                </c:pt>
                <c:pt idx="2">
                  <c:v>193197000</c:v>
                </c:pt>
                <c:pt idx="3">
                  <c:v>201524000</c:v>
                </c:pt>
                <c:pt idx="4">
                  <c:v>147427000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C4-4025-B32A-6AF7DD5CFF8E}"/>
            </c:ext>
          </c:extLst>
        </c:ser>
        <c:ser>
          <c:idx val="3"/>
          <c:order val="3"/>
          <c:tx>
            <c:strRef>
              <c:f>SOFP!$A$99</c:f>
              <c:strCache>
                <c:ptCount val="1"/>
                <c:pt idx="0">
                  <c:v>Total Liabilities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SOFP!$B$95:$F$95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SOFP!$B$99:$F$99</c:f>
              <c:numCache>
                <c:formatCode>#,##0;[Red]\(#,##0\)</c:formatCode>
                <c:ptCount val="5"/>
                <c:pt idx="0">
                  <c:v>318618000</c:v>
                </c:pt>
                <c:pt idx="1">
                  <c:v>208272000</c:v>
                </c:pt>
                <c:pt idx="2">
                  <c:v>226351000</c:v>
                </c:pt>
                <c:pt idx="3">
                  <c:v>232314000</c:v>
                </c:pt>
                <c:pt idx="4">
                  <c:v>217553000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C4-4025-B32A-6AF7DD5C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6918464"/>
        <c:axId val="16369226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SOFP!$A$96</c15:sqref>
                        </c15:formulaRef>
                      </c:ext>
                    </c:extLst>
                    <c:strCache>
                      <c:ptCount val="1"/>
                      <c:pt idx="0">
                        <c:v>Total Non-Current Assets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SOFP!$B$95:$F$95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SOFP!$B$96:$F$96</c15:sqref>
                        </c15:formulaRef>
                      </c:ext>
                    </c:extLst>
                    <c:numCache>
                      <c:formatCode>#,##0;[Red]\(#,##0\)</c:formatCode>
                      <c:ptCount val="5"/>
                      <c:pt idx="0">
                        <c:v>241461000</c:v>
                      </c:pt>
                      <c:pt idx="1">
                        <c:v>210924000</c:v>
                      </c:pt>
                      <c:pt idx="2">
                        <c:v>233937000</c:v>
                      </c:pt>
                      <c:pt idx="3">
                        <c:v>237157000</c:v>
                      </c:pt>
                      <c:pt idx="4">
                        <c:v>175940000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EC4-4025-B32A-6AF7DD5CFF8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SOFP!$A$100</c15:sqref>
                        </c15:formulaRef>
                      </c:ext>
                    </c:extLst>
                    <c:strCache>
                      <c:ptCount val="1"/>
                      <c:pt idx="0">
                        <c:v>Total Equity and Liabilities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</a:ln>
                  <a:effectLst>
                    <a:glow rad="139700">
                      <a:schemeClr val="accent5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SOFP!$B$95:$F$95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SOFP!$B$100:$F$100</c15:sqref>
                        </c15:formulaRef>
                      </c:ext>
                    </c:extLst>
                    <c:numCache>
                      <c:formatCode>#,##0;[Red]\(#,##0\)</c:formatCode>
                      <c:ptCount val="5"/>
                      <c:pt idx="0">
                        <c:v>474535000</c:v>
                      </c:pt>
                      <c:pt idx="1">
                        <c:v>360743000</c:v>
                      </c:pt>
                      <c:pt idx="2">
                        <c:v>419548000</c:v>
                      </c:pt>
                      <c:pt idx="3">
                        <c:v>433838000</c:v>
                      </c:pt>
                      <c:pt idx="4">
                        <c:v>364980000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EC4-4025-B32A-6AF7DD5CFF8E}"/>
                  </c:ext>
                </c:extLst>
              </c15:ser>
            </c15:filteredLineSeries>
          </c:ext>
        </c:extLst>
      </c:lineChart>
      <c:catAx>
        <c:axId val="1636918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22624"/>
        <c:crosses val="autoZero"/>
        <c:auto val="1"/>
        <c:lblAlgn val="ctr"/>
        <c:lblOffset val="100"/>
        <c:noMultiLvlLbl val="0"/>
      </c:catAx>
      <c:valAx>
        <c:axId val="1636922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1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Cash</a:t>
            </a:r>
            <a:r>
              <a:rPr lang="en-ZA" baseline="0"/>
              <a:t> Flow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SOCF!$A$55</c:f>
              <c:strCache>
                <c:ptCount val="1"/>
                <c:pt idx="0">
                  <c:v>        Cash from Ops.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SOCF!$B$54:$F$54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SOCF!$B$55:$F$55</c:f>
              <c:numCache>
                <c:formatCode>General</c:formatCode>
                <c:ptCount val="5"/>
                <c:pt idx="0">
                  <c:v>29761000</c:v>
                </c:pt>
                <c:pt idx="1">
                  <c:v>34089000</c:v>
                </c:pt>
                <c:pt idx="2">
                  <c:v>40299000</c:v>
                </c:pt>
                <c:pt idx="3">
                  <c:v>49176000</c:v>
                </c:pt>
                <c:pt idx="4">
                  <c:v>37384000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1-4360-BE03-1488EE81885B}"/>
            </c:ext>
          </c:extLst>
        </c:ser>
        <c:ser>
          <c:idx val="1"/>
          <c:order val="1"/>
          <c:tx>
            <c:strRef>
              <c:f>SOCF!$A$56</c:f>
              <c:strCache>
                <c:ptCount val="1"/>
                <c:pt idx="0">
                  <c:v>        Cash from Investing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SOCF!$B$54:$F$54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SOCF!$B$56:$F$56</c:f>
              <c:numCache>
                <c:formatCode>General</c:formatCode>
                <c:ptCount val="5"/>
                <c:pt idx="0">
                  <c:v>-38550000</c:v>
                </c:pt>
                <c:pt idx="1">
                  <c:v>25093000</c:v>
                </c:pt>
                <c:pt idx="2">
                  <c:v>-15077000</c:v>
                </c:pt>
                <c:pt idx="3">
                  <c:v>-28234000</c:v>
                </c:pt>
                <c:pt idx="4">
                  <c:v>-30657000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1-4360-BE03-1488EE81885B}"/>
            </c:ext>
          </c:extLst>
        </c:ser>
        <c:ser>
          <c:idx val="2"/>
          <c:order val="2"/>
          <c:tx>
            <c:strRef>
              <c:f>SOCF!$A$57</c:f>
              <c:strCache>
                <c:ptCount val="1"/>
                <c:pt idx="0">
                  <c:v>        Cash from Financing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SOCF!$B$54:$F$54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SOCF!$B$57:$F$57</c:f>
              <c:numCache>
                <c:formatCode>General</c:formatCode>
                <c:ptCount val="5"/>
                <c:pt idx="0">
                  <c:v>25081000</c:v>
                </c:pt>
                <c:pt idx="1">
                  <c:v>-58311000</c:v>
                </c:pt>
                <c:pt idx="2">
                  <c:v>-15002000</c:v>
                </c:pt>
                <c:pt idx="3">
                  <c:v>-12566000</c:v>
                </c:pt>
                <c:pt idx="4">
                  <c:v>-14599000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71-4360-BE03-1488EE818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6934688"/>
        <c:axId val="1636938432"/>
      </c:barChart>
      <c:lineChart>
        <c:grouping val="standard"/>
        <c:varyColors val="0"/>
        <c:ser>
          <c:idx val="3"/>
          <c:order val="3"/>
          <c:tx>
            <c:strRef>
              <c:f>SOCF!$A$58</c:f>
              <c:strCache>
                <c:ptCount val="1"/>
                <c:pt idx="0">
                  <c:v>        Net Change in Cash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SOCF!$B$54:$F$54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SOCF!$B$58:$F$58</c:f>
              <c:numCache>
                <c:formatCode>General</c:formatCode>
                <c:ptCount val="5"/>
                <c:pt idx="0">
                  <c:v>18275000</c:v>
                </c:pt>
                <c:pt idx="1">
                  <c:v>-3106000</c:v>
                </c:pt>
                <c:pt idx="2">
                  <c:v>11979000</c:v>
                </c:pt>
                <c:pt idx="3">
                  <c:v>10800000</c:v>
                </c:pt>
                <c:pt idx="4">
                  <c:v>-8505000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71-4360-BE03-1488EE818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6934688"/>
        <c:axId val="1636938432"/>
      </c:lineChart>
      <c:catAx>
        <c:axId val="163693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38432"/>
        <c:crosses val="autoZero"/>
        <c:auto val="1"/>
        <c:lblAlgn val="ctr"/>
        <c:lblOffset val="100"/>
        <c:noMultiLvlLbl val="0"/>
      </c:catAx>
      <c:valAx>
        <c:axId val="163693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3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286379466989707E-2"/>
          <c:y val="0.25544896013558838"/>
          <c:w val="0.91048285130224105"/>
          <c:h val="0.6270700187140284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'Financial Analysis'!$A$5</c:f>
              <c:strCache>
                <c:ptCount val="1"/>
                <c:pt idx="0">
                  <c:v>Current Ratio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'Financial Analysis'!$B$3:$F$3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Analysis'!$B$5:$F$5</c:f>
              <c:numCache>
                <c:formatCode>General</c:formatCode>
                <c:ptCount val="5"/>
                <c:pt idx="0">
                  <c:v>1.9112201722545588</c:v>
                </c:pt>
                <c:pt idx="1">
                  <c:v>1.8269057049544855</c:v>
                </c:pt>
                <c:pt idx="2">
                  <c:v>1.4410896213565787</c:v>
                </c:pt>
                <c:pt idx="3">
                  <c:v>1.318304310758768</c:v>
                </c:pt>
                <c:pt idx="4">
                  <c:v>2.3253692999357738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0-41F4-94D9-6455D7053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6540111"/>
        <c:axId val="2165355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'Financial Analysis'!$A$4</c15:sqref>
                        </c15:formulaRef>
                      </c:ext>
                    </c:extLst>
                    <c:strCache>
                      <c:ptCount val="1"/>
                      <c:pt idx="0">
                        <c:v>Cash Ratio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1"/>
                    </a:solidFill>
                    <a:miter lim="800000"/>
                  </a:ln>
                  <a:effectLst>
                    <a:glow rad="63500">
                      <a:schemeClr val="accent1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'Financial Analysis'!$B$3:$F$3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'Financial Analysis'!$B$4:$F$4</c15:sqref>
                        </c15:formulaRef>
                      </c:ext>
                    </c:extLst>
                    <c:numCache>
                      <c:formatCode>0.0000</c:formatCode>
                      <c:ptCount val="5"/>
                      <c:pt idx="0">
                        <c:v>0.37306428402671876</c:v>
                      </c:pt>
                      <c:pt idx="1">
                        <c:v>0.54254395108053644</c:v>
                      </c:pt>
                      <c:pt idx="2">
                        <c:v>0.47006265322800328</c:v>
                      </c:pt>
                      <c:pt idx="3">
                        <c:v>0.52844277636775217</c:v>
                      </c:pt>
                      <c:pt idx="4">
                        <c:v>0.83279199926598768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CB0-41F4-94D9-6455D7053FEA}"/>
                  </c:ext>
                </c:extLst>
              </c15:ser>
            </c15:filteredBarSeries>
          </c:ext>
        </c:extLst>
      </c:barChart>
      <c:catAx>
        <c:axId val="2165401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535535"/>
        <c:crosses val="autoZero"/>
        <c:auto val="1"/>
        <c:lblAlgn val="ctr"/>
        <c:lblOffset val="100"/>
        <c:noMultiLvlLbl val="0"/>
      </c:catAx>
      <c:valAx>
        <c:axId val="2165355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54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Operating</a:t>
            </a:r>
            <a:r>
              <a:rPr lang="en-ZA" baseline="0"/>
              <a:t> Profitability Indicators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Analysis'!$B$26</c:f>
              <c:strCache>
                <c:ptCount val="1"/>
                <c:pt idx="0">
                  <c:v>2020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Analysis'!$A$27:$A$34</c15:sqref>
                  </c15:fullRef>
                </c:ext>
              </c:extLst>
              <c:f>'Financial Analysis'!$A$27:$A$33</c:f>
              <c:strCache>
                <c:ptCount val="7"/>
                <c:pt idx="0">
                  <c:v>Return On Assets %</c:v>
                </c:pt>
                <c:pt idx="1">
                  <c:v>Return On Average Assets %</c:v>
                </c:pt>
                <c:pt idx="2">
                  <c:v>Return On Average Equity %</c:v>
                </c:pt>
                <c:pt idx="3">
                  <c:v>Return On Capital Employed %</c:v>
                </c:pt>
                <c:pt idx="4">
                  <c:v>Return On Equity %</c:v>
                </c:pt>
                <c:pt idx="5">
                  <c:v>Total Assets Turnover</c:v>
                </c:pt>
                <c:pt idx="6">
                  <c:v>Total Debt / Cash Flow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Analysis'!$B$27:$B$34</c15:sqref>
                  </c15:fullRef>
                </c:ext>
              </c:extLst>
              <c:f>'Financial Analysis'!$B$27:$B$33</c:f>
              <c:numCache>
                <c:formatCode>General</c:formatCode>
                <c:ptCount val="7"/>
                <c:pt idx="0">
                  <c:v>-19.369909490343179</c:v>
                </c:pt>
                <c:pt idx="1">
                  <c:v>-19.369909490343179</c:v>
                </c:pt>
                <c:pt idx="2">
                  <c:v>0</c:v>
                </c:pt>
                <c:pt idx="3">
                  <c:v>8.5410827555686684</c:v>
                </c:pt>
                <c:pt idx="4">
                  <c:v>0</c:v>
                </c:pt>
                <c:pt idx="5">
                  <c:v>0</c:v>
                </c:pt>
                <c:pt idx="6">
                  <c:v>697.04983031484153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0-4BA6-B546-4865EB550FF1}"/>
            </c:ext>
          </c:extLst>
        </c:ser>
        <c:ser>
          <c:idx val="1"/>
          <c:order val="1"/>
          <c:tx>
            <c:strRef>
              <c:f>'Financial Analysis'!$C$26</c:f>
              <c:strCache>
                <c:ptCount val="1"/>
                <c:pt idx="0">
                  <c:v>2021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Analysis'!$A$27:$A$34</c15:sqref>
                  </c15:fullRef>
                </c:ext>
              </c:extLst>
              <c:f>'Financial Analysis'!$A$27:$A$33</c:f>
              <c:strCache>
                <c:ptCount val="7"/>
                <c:pt idx="0">
                  <c:v>Return On Assets %</c:v>
                </c:pt>
                <c:pt idx="1">
                  <c:v>Return On Average Assets %</c:v>
                </c:pt>
                <c:pt idx="2">
                  <c:v>Return On Average Equity %</c:v>
                </c:pt>
                <c:pt idx="3">
                  <c:v>Return On Capital Employed %</c:v>
                </c:pt>
                <c:pt idx="4">
                  <c:v>Return On Equity %</c:v>
                </c:pt>
                <c:pt idx="5">
                  <c:v>Total Assets Turnover</c:v>
                </c:pt>
                <c:pt idx="6">
                  <c:v>Total Debt / Cash Flow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Analysis'!$C$27:$C$34</c15:sqref>
                  </c15:fullRef>
                </c:ext>
              </c:extLst>
              <c:f>'Financial Analysis'!$C$27:$C$33</c:f>
              <c:numCache>
                <c:formatCode>General</c:formatCode>
                <c:ptCount val="7"/>
                <c:pt idx="0">
                  <c:v>2.9195299700895094</c:v>
                </c:pt>
                <c:pt idx="1">
                  <c:v>2.521795138863947</c:v>
                </c:pt>
                <c:pt idx="2">
                  <c:v>6.830356563809227</c:v>
                </c:pt>
                <c:pt idx="3">
                  <c:v>16.81631261026687</c:v>
                </c:pt>
                <c:pt idx="4">
                  <c:v>7.0811692131847446</c:v>
                </c:pt>
                <c:pt idx="5">
                  <c:v>12.086395188188842</c:v>
                </c:pt>
                <c:pt idx="6">
                  <c:v>347.98028689606622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0-4BA6-B546-4865EB550FF1}"/>
            </c:ext>
          </c:extLst>
        </c:ser>
        <c:ser>
          <c:idx val="2"/>
          <c:order val="2"/>
          <c:tx>
            <c:strRef>
              <c:f>'Financial Analysis'!$D$26</c:f>
              <c:strCache>
                <c:ptCount val="1"/>
                <c:pt idx="0">
                  <c:v>2022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Analysis'!$A$27:$A$34</c15:sqref>
                  </c15:fullRef>
                </c:ext>
              </c:extLst>
              <c:f>'Financial Analysis'!$A$27:$A$33</c:f>
              <c:strCache>
                <c:ptCount val="7"/>
                <c:pt idx="0">
                  <c:v>Return On Assets %</c:v>
                </c:pt>
                <c:pt idx="1">
                  <c:v>Return On Average Assets %</c:v>
                </c:pt>
                <c:pt idx="2">
                  <c:v>Return On Average Equity %</c:v>
                </c:pt>
                <c:pt idx="3">
                  <c:v>Return On Capital Employed %</c:v>
                </c:pt>
                <c:pt idx="4">
                  <c:v>Return On Equity %</c:v>
                </c:pt>
                <c:pt idx="5">
                  <c:v>Total Assets Turnover</c:v>
                </c:pt>
                <c:pt idx="6">
                  <c:v>Total Debt / Cash Flow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Analysis'!$D$27:$D$34</c15:sqref>
                  </c15:fullRef>
                </c:ext>
              </c:extLst>
              <c:f>'Financial Analysis'!$D$27:$D$33</c:f>
              <c:numCache>
                <c:formatCode>General</c:formatCode>
                <c:ptCount val="7"/>
                <c:pt idx="0">
                  <c:v>9.9325941251060659</c:v>
                </c:pt>
                <c:pt idx="1">
                  <c:v>10.681143317044539</c:v>
                </c:pt>
                <c:pt idx="2">
                  <c:v>24.1109966788942</c:v>
                </c:pt>
                <c:pt idx="3">
                  <c:v>26.086843998612814</c:v>
                </c:pt>
                <c:pt idx="4">
                  <c:v>24.870491059705412</c:v>
                </c:pt>
                <c:pt idx="5">
                  <c:v>17.47719760960975</c:v>
                </c:pt>
                <c:pt idx="6">
                  <c:v>300.56080796049531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30-4BA6-B546-4865EB550FF1}"/>
            </c:ext>
          </c:extLst>
        </c:ser>
        <c:ser>
          <c:idx val="3"/>
          <c:order val="3"/>
          <c:tx>
            <c:strRef>
              <c:f>'Financial Analysis'!$E$26</c:f>
              <c:strCache>
                <c:ptCount val="1"/>
                <c:pt idx="0">
                  <c:v>2023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Analysis'!$A$27:$A$34</c15:sqref>
                  </c15:fullRef>
                </c:ext>
              </c:extLst>
              <c:f>'Financial Analysis'!$A$27:$A$33</c:f>
              <c:strCache>
                <c:ptCount val="7"/>
                <c:pt idx="0">
                  <c:v>Return On Assets %</c:v>
                </c:pt>
                <c:pt idx="1">
                  <c:v>Return On Average Assets %</c:v>
                </c:pt>
                <c:pt idx="2">
                  <c:v>Return On Average Equity %</c:v>
                </c:pt>
                <c:pt idx="3">
                  <c:v>Return On Capital Employed %</c:v>
                </c:pt>
                <c:pt idx="4">
                  <c:v>Return On Equity %</c:v>
                </c:pt>
                <c:pt idx="5">
                  <c:v>Total Assets Turnover</c:v>
                </c:pt>
                <c:pt idx="6">
                  <c:v>Total Debt / Cash Flow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Analysis'!$E$27:$E$34</c15:sqref>
                  </c15:fullRef>
                </c:ext>
              </c:extLst>
              <c:f>'Financial Analysis'!$E$27:$E$33</c:f>
              <c:numCache>
                <c:formatCode>General</c:formatCode>
                <c:ptCount val="7"/>
                <c:pt idx="0">
                  <c:v>2.1512638358096803</c:v>
                </c:pt>
                <c:pt idx="1">
                  <c:v>2.1872868783879746</c:v>
                </c:pt>
                <c:pt idx="2">
                  <c:v>4.728909786912781</c:v>
                </c:pt>
                <c:pt idx="3">
                  <c:v>26.645461582739529</c:v>
                </c:pt>
                <c:pt idx="4">
                  <c:v>4.8416842400143185</c:v>
                </c:pt>
                <c:pt idx="5">
                  <c:v>16.973327427447838</c:v>
                </c:pt>
                <c:pt idx="6">
                  <c:v>285.91792744428176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30-4BA6-B546-4865EB550FF1}"/>
            </c:ext>
          </c:extLst>
        </c:ser>
        <c:ser>
          <c:idx val="4"/>
          <c:order val="4"/>
          <c:tx>
            <c:strRef>
              <c:f>'Financial Analysis'!$F$26</c:f>
              <c:strCache>
                <c:ptCount val="1"/>
                <c:pt idx="0">
                  <c:v>2024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Analysis'!$A$27:$A$34</c15:sqref>
                  </c15:fullRef>
                </c:ext>
              </c:extLst>
              <c:f>'Financial Analysis'!$A$27:$A$33</c:f>
              <c:strCache>
                <c:ptCount val="7"/>
                <c:pt idx="0">
                  <c:v>Return On Assets %</c:v>
                </c:pt>
                <c:pt idx="1">
                  <c:v>Return On Average Assets %</c:v>
                </c:pt>
                <c:pt idx="2">
                  <c:v>Return On Average Equity %</c:v>
                </c:pt>
                <c:pt idx="3">
                  <c:v>Return On Capital Employed %</c:v>
                </c:pt>
                <c:pt idx="4">
                  <c:v>Return On Equity %</c:v>
                </c:pt>
                <c:pt idx="5">
                  <c:v>Total Assets Turnover</c:v>
                </c:pt>
                <c:pt idx="6">
                  <c:v>Total Debt / Cash Flow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Analysis'!$F$27:$F$34</c15:sqref>
                  </c15:fullRef>
                </c:ext>
              </c:extLst>
              <c:f>'Financial Analysis'!$F$27:$F$33</c:f>
              <c:numCache>
                <c:formatCode>General</c:formatCode>
                <c:ptCount val="7"/>
                <c:pt idx="0">
                  <c:v>-12.12258205929092</c:v>
                </c:pt>
                <c:pt idx="1">
                  <c:v>-11.077617179382537</c:v>
                </c:pt>
                <c:pt idx="2">
                  <c:v>-25.35886127278615</c:v>
                </c:pt>
                <c:pt idx="3">
                  <c:v>30.296350057994804</c:v>
                </c:pt>
                <c:pt idx="4">
                  <c:v>-26.0334383614438</c:v>
                </c:pt>
                <c:pt idx="5">
                  <c:v>17.219879872511637</c:v>
                </c:pt>
                <c:pt idx="6">
                  <c:v>361.53167130323129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30-4BA6-B546-4865EB550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69055"/>
        <c:axId val="146963647"/>
      </c:barChart>
      <c:catAx>
        <c:axId val="14696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63647"/>
        <c:crosses val="autoZero"/>
        <c:auto val="1"/>
        <c:lblAlgn val="ctr"/>
        <c:lblOffset val="100"/>
        <c:noMultiLvlLbl val="0"/>
      </c:catAx>
      <c:valAx>
        <c:axId val="1469636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Returns</a:t>
                </a:r>
                <a:r>
                  <a:rPr lang="en-ZA" baseline="0"/>
                  <a:t> in Percentages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6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Assets Turnover vs. Total Debt/Cash Flow</a:t>
            </a:r>
            <a:endParaRPr lang="en-ZA"/>
          </a:p>
        </c:rich>
      </c:tx>
      <c:layout>
        <c:manualLayout>
          <c:xMode val="edge"/>
          <c:yMode val="edge"/>
          <c:x val="0.13580555555555557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Analysis'!$B$26</c:f>
              <c:strCache>
                <c:ptCount val="1"/>
                <c:pt idx="0">
                  <c:v>2020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Analysis'!$A$27:$A$34</c15:sqref>
                  </c15:fullRef>
                </c:ext>
              </c:extLst>
              <c:f>'Financial Analysis'!$A$34</c:f>
              <c:strCache>
                <c:ptCount val="1"/>
                <c:pt idx="0">
                  <c:v>Turnover / Employee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Analysis'!$B$27:$B$34</c15:sqref>
                  </c15:fullRef>
                </c:ext>
              </c:extLst>
              <c:f>'Financial Analysis'!$B$34</c:f>
              <c:numCache>
                <c:formatCode>General</c:formatCode>
                <c:ptCount val="1"/>
                <c:pt idx="0">
                  <c:v>620694.48972937721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6-40DA-ABF3-6DEF369A91B7}"/>
            </c:ext>
          </c:extLst>
        </c:ser>
        <c:ser>
          <c:idx val="1"/>
          <c:order val="1"/>
          <c:tx>
            <c:strRef>
              <c:f>'Financial Analysis'!$C$26</c:f>
              <c:strCache>
                <c:ptCount val="1"/>
                <c:pt idx="0">
                  <c:v>2021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Analysis'!$A$27:$A$34</c15:sqref>
                  </c15:fullRef>
                </c:ext>
              </c:extLst>
              <c:f>'Financial Analysis'!$A$34</c:f>
              <c:strCache>
                <c:ptCount val="1"/>
                <c:pt idx="0">
                  <c:v>Turnover / Employee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Analysis'!$C$27:$C$34</c15:sqref>
                  </c15:fullRef>
                </c:ext>
              </c:extLst>
              <c:f>'Financial Analysis'!$C$34</c:f>
              <c:numCache>
                <c:formatCode>General</c:formatCode>
                <c:ptCount val="1"/>
                <c:pt idx="0">
                  <c:v>702906.87554395129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96-40DA-ABF3-6DEF369A91B7}"/>
            </c:ext>
          </c:extLst>
        </c:ser>
        <c:ser>
          <c:idx val="2"/>
          <c:order val="2"/>
          <c:tx>
            <c:strRef>
              <c:f>'Financial Analysis'!$D$26</c:f>
              <c:strCache>
                <c:ptCount val="1"/>
                <c:pt idx="0">
                  <c:v>2022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Analysis'!$A$27:$A$34</c15:sqref>
                  </c15:fullRef>
                </c:ext>
              </c:extLst>
              <c:f>'Financial Analysis'!$A$34</c:f>
              <c:strCache>
                <c:ptCount val="1"/>
                <c:pt idx="0">
                  <c:v>Turnover / Employee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Analysis'!$D$27:$D$34</c15:sqref>
                  </c15:fullRef>
                </c:ext>
              </c:extLst>
              <c:f>'Financial Analysis'!$D$34</c:f>
              <c:numCache>
                <c:formatCode>General</c:formatCode>
                <c:ptCount val="1"/>
                <c:pt idx="0">
                  <c:v>964482.4781640087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96-40DA-ABF3-6DEF369A91B7}"/>
            </c:ext>
          </c:extLst>
        </c:ser>
        <c:ser>
          <c:idx val="3"/>
          <c:order val="3"/>
          <c:tx>
            <c:strRef>
              <c:f>'Financial Analysis'!$E$26</c:f>
              <c:strCache>
                <c:ptCount val="1"/>
                <c:pt idx="0">
                  <c:v>2023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Analysis'!$A$27:$A$34</c15:sqref>
                  </c15:fullRef>
                </c:ext>
              </c:extLst>
              <c:f>'Financial Analysis'!$A$34</c:f>
              <c:strCache>
                <c:ptCount val="1"/>
                <c:pt idx="0">
                  <c:v>Turnover / Employee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Analysis'!$E$27:$E$34</c15:sqref>
                  </c15:fullRef>
                </c:ext>
              </c:extLst>
              <c:f>'Financial Analysis'!$E$34</c:f>
              <c:numCache>
                <c:formatCode>General</c:formatCode>
                <c:ptCount val="1"/>
                <c:pt idx="0">
                  <c:v>1010908.3295529889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96-40DA-ABF3-6DEF369A91B7}"/>
            </c:ext>
          </c:extLst>
        </c:ser>
        <c:ser>
          <c:idx val="4"/>
          <c:order val="4"/>
          <c:tx>
            <c:strRef>
              <c:f>'Financial Analysis'!$F$26</c:f>
              <c:strCache>
                <c:ptCount val="1"/>
                <c:pt idx="0">
                  <c:v>2024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Analysis'!$A$27:$A$34</c15:sqref>
                  </c15:fullRef>
                </c:ext>
              </c:extLst>
              <c:f>'Financial Analysis'!$A$34</c:f>
              <c:strCache>
                <c:ptCount val="1"/>
                <c:pt idx="0">
                  <c:v>Turnover / Employee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Analysis'!$F$27:$F$34</c15:sqref>
                  </c15:fullRef>
                </c:ext>
              </c:extLst>
              <c:f>'Financial Analysis'!$F$34</c:f>
              <c:numCache>
                <c:formatCode>General</c:formatCode>
                <c:ptCount val="1"/>
                <c:pt idx="0">
                  <c:v>993969.94002456835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96-40DA-ABF3-6DEF369A9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10271"/>
        <c:axId val="229323167"/>
      </c:barChart>
      <c:catAx>
        <c:axId val="22931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23167"/>
        <c:crosses val="autoZero"/>
        <c:auto val="1"/>
        <c:lblAlgn val="ctr"/>
        <c:lblOffset val="100"/>
        <c:noMultiLvlLbl val="0"/>
      </c:catAx>
      <c:valAx>
        <c:axId val="2293231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Ratios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102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Cash</a:t>
            </a:r>
            <a:r>
              <a:rPr lang="en-ZA" baseline="0"/>
              <a:t> flow Analysis(Debt and Earnings)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Analysis'!$B$10</c:f>
              <c:strCache>
                <c:ptCount val="1"/>
                <c:pt idx="0">
                  <c:v>2020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Analysis'!$A$11:$A$24</c15:sqref>
                  </c15:fullRef>
                </c:ext>
              </c:extLst>
              <c:f>'Financial Analysis'!$A$12:$A$15</c:f>
              <c:strCache>
                <c:ptCount val="4"/>
                <c:pt idx="0">
                  <c:v>Cash Flow To Current Liabilities</c:v>
                </c:pt>
                <c:pt idx="1">
                  <c:v>Cash Flow To Net Earnings After Tax</c:v>
                </c:pt>
                <c:pt idx="2">
                  <c:v>Cash Flow To Total Debt</c:v>
                </c:pt>
                <c:pt idx="3">
                  <c:v>Cash Flow To Turnover (Margin)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Analysis'!$B$11:$B$24</c15:sqref>
                  </c15:fullRef>
                </c:ext>
              </c:extLst>
              <c:f>'Financial Analysis'!$B$12:$B$15</c:f>
              <c:numCache>
                <c:formatCode>General</c:formatCode>
                <c:ptCount val="4"/>
                <c:pt idx="0">
                  <c:v>0.31960523207113556</c:v>
                </c:pt>
                <c:pt idx="1">
                  <c:v>-0.32378123742071652</c:v>
                </c:pt>
                <c:pt idx="2">
                  <c:v>0.14346176650646664</c:v>
                </c:pt>
                <c:pt idx="3">
                  <c:v>0.15633486896363341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4-4CDE-900F-0A45F7814A6E}"/>
            </c:ext>
          </c:extLst>
        </c:ser>
        <c:ser>
          <c:idx val="1"/>
          <c:order val="1"/>
          <c:tx>
            <c:strRef>
              <c:f>'Financial Analysis'!$C$10</c:f>
              <c:strCache>
                <c:ptCount val="1"/>
                <c:pt idx="0">
                  <c:v>2021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Analysis'!$A$11:$A$24</c15:sqref>
                  </c15:fullRef>
                </c:ext>
              </c:extLst>
              <c:f>'Financial Analysis'!$A$12:$A$15</c:f>
              <c:strCache>
                <c:ptCount val="4"/>
                <c:pt idx="0">
                  <c:v>Cash Flow To Current Liabilities</c:v>
                </c:pt>
                <c:pt idx="1">
                  <c:v>Cash Flow To Net Earnings After Tax</c:v>
                </c:pt>
                <c:pt idx="2">
                  <c:v>Cash Flow To Total Debt</c:v>
                </c:pt>
                <c:pt idx="3">
                  <c:v>Cash Flow To Turnover (Margin)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Analysis'!$C$11:$C$24</c15:sqref>
                  </c15:fullRef>
                </c:ext>
              </c:extLst>
              <c:f>'Financial Analysis'!$C$12:$C$15</c:f>
              <c:numCache>
                <c:formatCode>General</c:formatCode>
                <c:ptCount val="4"/>
                <c:pt idx="0">
                  <c:v>0.59219303731498851</c:v>
                </c:pt>
                <c:pt idx="1">
                  <c:v>3.236707178123813</c:v>
                </c:pt>
                <c:pt idx="2">
                  <c:v>0.28737260059179082</c:v>
                </c:pt>
                <c:pt idx="3">
                  <c:v>0.16883264820959834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4-4CDE-900F-0A45F7814A6E}"/>
            </c:ext>
          </c:extLst>
        </c:ser>
        <c:ser>
          <c:idx val="2"/>
          <c:order val="2"/>
          <c:tx>
            <c:strRef>
              <c:f>'Financial Analysis'!$D$10</c:f>
              <c:strCache>
                <c:ptCount val="1"/>
                <c:pt idx="0">
                  <c:v>2022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Analysis'!$A$11:$A$24</c15:sqref>
                  </c15:fullRef>
                </c:ext>
              </c:extLst>
              <c:f>'Financial Analysis'!$A$12:$A$15</c:f>
              <c:strCache>
                <c:ptCount val="4"/>
                <c:pt idx="0">
                  <c:v>Cash Flow To Current Liabilities</c:v>
                </c:pt>
                <c:pt idx="1">
                  <c:v>Cash Flow To Net Earnings After Tax</c:v>
                </c:pt>
                <c:pt idx="2">
                  <c:v>Cash Flow To Total Debt</c:v>
                </c:pt>
                <c:pt idx="3">
                  <c:v>Cash Flow To Turnover (Margin)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Analysis'!$D$11:$D$24</c15:sqref>
                  </c15:fullRef>
                </c:ext>
              </c:extLst>
              <c:f>'Financial Analysis'!$D$12:$D$15</c:f>
              <c:numCache>
                <c:formatCode>General</c:formatCode>
                <c:ptCount val="4"/>
                <c:pt idx="0">
                  <c:v>0.43910651048760557</c:v>
                </c:pt>
                <c:pt idx="1">
                  <c:v>0.96705221731618352</c:v>
                </c:pt>
                <c:pt idx="2">
                  <c:v>0.33271137603923284</c:v>
                </c:pt>
                <c:pt idx="3">
                  <c:v>0.14775285430400445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44-4CDE-900F-0A45F7814A6E}"/>
            </c:ext>
          </c:extLst>
        </c:ser>
        <c:ser>
          <c:idx val="3"/>
          <c:order val="3"/>
          <c:tx>
            <c:strRef>
              <c:f>'Financial Analysis'!$E$10</c:f>
              <c:strCache>
                <c:ptCount val="1"/>
                <c:pt idx="0">
                  <c:v>2023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Analysis'!$A$11:$A$24</c15:sqref>
                  </c15:fullRef>
                </c:ext>
              </c:extLst>
              <c:f>'Financial Analysis'!$A$12:$A$15</c:f>
              <c:strCache>
                <c:ptCount val="4"/>
                <c:pt idx="0">
                  <c:v>Cash Flow To Current Liabilities</c:v>
                </c:pt>
                <c:pt idx="1">
                  <c:v>Cash Flow To Net Earnings After Tax</c:v>
                </c:pt>
                <c:pt idx="2">
                  <c:v>Cash Flow To Total Debt</c:v>
                </c:pt>
                <c:pt idx="3">
                  <c:v>Cash Flow To Turnover (Margin)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Analysis'!$E$11:$E$24</c15:sqref>
                  </c15:fullRef>
                </c:ext>
              </c:extLst>
              <c:f>'Financial Analysis'!$E$12:$E$15</c:f>
              <c:numCache>
                <c:formatCode>General</c:formatCode>
                <c:ptCount val="4"/>
                <c:pt idx="0">
                  <c:v>0.48189559712681412</c:v>
                </c:pt>
                <c:pt idx="1">
                  <c:v>5.2690453230472514</c:v>
                </c:pt>
                <c:pt idx="2">
                  <c:v>0.34975071655654572</c:v>
                </c:pt>
                <c:pt idx="3">
                  <c:v>0.16975035899701757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44-4CDE-900F-0A45F7814A6E}"/>
            </c:ext>
          </c:extLst>
        </c:ser>
        <c:ser>
          <c:idx val="4"/>
          <c:order val="4"/>
          <c:tx>
            <c:strRef>
              <c:f>'Financial Analysis'!$F$10</c:f>
              <c:strCache>
                <c:ptCount val="1"/>
                <c:pt idx="0">
                  <c:v>2024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'Financial Analysis'!$A$11:$A$24</c15:sqref>
                  </c15:fullRef>
                </c:ext>
              </c:extLst>
              <c:f>'Financial Analysis'!$A$12:$A$15</c:f>
              <c:strCache>
                <c:ptCount val="4"/>
                <c:pt idx="0">
                  <c:v>Cash Flow To Current Liabilities</c:v>
                </c:pt>
                <c:pt idx="1">
                  <c:v>Cash Flow To Net Earnings After Tax</c:v>
                </c:pt>
                <c:pt idx="2">
                  <c:v>Cash Flow To Total Debt</c:v>
                </c:pt>
                <c:pt idx="3">
                  <c:v>Cash Flow To Turnover (Margin)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'Financial Analysis'!$F$11:$F$24</c15:sqref>
                  </c15:fullRef>
                </c:ext>
              </c:extLst>
              <c:f>'Financial Analysis'!$F$12:$F$15</c:f>
              <c:numCache>
                <c:formatCode>General</c:formatCode>
                <c:ptCount val="4"/>
                <c:pt idx="0">
                  <c:v>0.68600789063216805</c:v>
                </c:pt>
                <c:pt idx="1">
                  <c:v>-0.84493163069273369</c:v>
                </c:pt>
                <c:pt idx="2">
                  <c:v>0.27660093966186972</c:v>
                </c:pt>
                <c:pt idx="3">
                  <c:v>0.13588696925968063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44-4CDE-900F-0A45F7814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22335"/>
        <c:axId val="229326911"/>
      </c:barChart>
      <c:catAx>
        <c:axId val="22932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26911"/>
        <c:crosses val="autoZero"/>
        <c:auto val="1"/>
        <c:lblAlgn val="ctr"/>
        <c:lblOffset val="100"/>
        <c:noMultiLvlLbl val="0"/>
      </c:catAx>
      <c:valAx>
        <c:axId val="2293269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Ratios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2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Operating</a:t>
            </a:r>
            <a:r>
              <a:rPr lang="en-ZA" baseline="0"/>
              <a:t> Efficiency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>
        <c:manualLayout>
          <c:layoutTarget val="inner"/>
          <c:xMode val="edge"/>
          <c:yMode val="edge"/>
          <c:x val="0.18447220992241492"/>
          <c:y val="0.17977578475336323"/>
          <c:w val="0.69052403596249734"/>
          <c:h val="0.581868224992055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'Financial Analysis'!$B$36</c:f>
              <c:strCache>
                <c:ptCount val="1"/>
                <c:pt idx="0">
                  <c:v>2020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'Financial Analysis'!$A$37:$A$41</c:f>
              <c:strCache>
                <c:ptCount val="5"/>
                <c:pt idx="0">
                  <c:v>Inventory turnover </c:v>
                </c:pt>
                <c:pt idx="1">
                  <c:v>Fixed assets turnover </c:v>
                </c:pt>
                <c:pt idx="2">
                  <c:v>Total asset turnover </c:v>
                </c:pt>
                <c:pt idx="3">
                  <c:v>Trade receivables turnover time (days)</c:v>
                </c:pt>
                <c:pt idx="4">
                  <c:v>Total Debt / Cash Flow</c:v>
                </c:pt>
              </c:strCache>
            </c:strRef>
          </c:cat>
          <c:val>
            <c:numRef>
              <c:f>'Financial Analysis'!$B$37:$B$41</c:f>
              <c:numCache>
                <c:formatCode>0.0000</c:formatCode>
                <c:ptCount val="5"/>
                <c:pt idx="0">
                  <c:v>3.6186468112657817</c:v>
                </c:pt>
                <c:pt idx="1">
                  <c:v>0.78839646982328404</c:v>
                </c:pt>
                <c:pt idx="2">
                  <c:v>0.40116535134394721</c:v>
                </c:pt>
                <c:pt idx="3" formatCode="General">
                  <c:v>55.43248041940042</c:v>
                </c:pt>
                <c:pt idx="4" formatCode="General">
                  <c:v>6.9704983031484158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C-49E2-8CA3-69D134FB0A45}"/>
            </c:ext>
          </c:extLst>
        </c:ser>
        <c:ser>
          <c:idx val="1"/>
          <c:order val="1"/>
          <c:tx>
            <c:strRef>
              <c:f>'Financial Analysis'!$C$36</c:f>
              <c:strCache>
                <c:ptCount val="1"/>
                <c:pt idx="0">
                  <c:v>2021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'Financial Analysis'!$A$37:$A$41</c:f>
              <c:strCache>
                <c:ptCount val="5"/>
                <c:pt idx="0">
                  <c:v>Inventory turnover </c:v>
                </c:pt>
                <c:pt idx="1">
                  <c:v>Fixed assets turnover </c:v>
                </c:pt>
                <c:pt idx="2">
                  <c:v>Total asset turnover </c:v>
                </c:pt>
                <c:pt idx="3">
                  <c:v>Trade receivables turnover time (days)</c:v>
                </c:pt>
                <c:pt idx="4">
                  <c:v>Total Debt / Cash Flow</c:v>
                </c:pt>
              </c:strCache>
            </c:strRef>
          </c:cat>
          <c:val>
            <c:numRef>
              <c:f>'Financial Analysis'!$C$37:$C$41</c:f>
              <c:numCache>
                <c:formatCode>0.0000</c:formatCode>
                <c:ptCount val="5"/>
                <c:pt idx="0">
                  <c:v>3.2776881178131934</c:v>
                </c:pt>
                <c:pt idx="1">
                  <c:v>0.95726422787354692</c:v>
                </c:pt>
                <c:pt idx="2">
                  <c:v>0.55970594024000464</c:v>
                </c:pt>
                <c:pt idx="3" formatCode="General">
                  <c:v>53.415890743400524</c:v>
                </c:pt>
                <c:pt idx="4" formatCode="General">
                  <c:v>3.4798028689606619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9C-49E2-8CA3-69D134FB0A45}"/>
            </c:ext>
          </c:extLst>
        </c:ser>
        <c:ser>
          <c:idx val="2"/>
          <c:order val="2"/>
          <c:tx>
            <c:strRef>
              <c:f>'Financial Analysis'!$D$36</c:f>
              <c:strCache>
                <c:ptCount val="1"/>
                <c:pt idx="0">
                  <c:v>2022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'Financial Analysis'!$A$37:$A$41</c:f>
              <c:strCache>
                <c:ptCount val="5"/>
                <c:pt idx="0">
                  <c:v>Inventory turnover </c:v>
                </c:pt>
                <c:pt idx="1">
                  <c:v>Fixed assets turnover </c:v>
                </c:pt>
                <c:pt idx="2">
                  <c:v>Total asset turnover </c:v>
                </c:pt>
                <c:pt idx="3">
                  <c:v>Trade receivables turnover time (days)</c:v>
                </c:pt>
                <c:pt idx="4">
                  <c:v>Total Debt / Cash Flow</c:v>
                </c:pt>
              </c:strCache>
            </c:strRef>
          </c:cat>
          <c:val>
            <c:numRef>
              <c:f>'Financial Analysis'!$D$37:$D$41</c:f>
              <c:numCache>
                <c:formatCode>0.0000</c:formatCode>
                <c:ptCount val="5"/>
                <c:pt idx="0">
                  <c:v>3.3403308197518853</c:v>
                </c:pt>
                <c:pt idx="1">
                  <c:v>1.1658950914135002</c:v>
                </c:pt>
                <c:pt idx="2">
                  <c:v>0.65009486399649141</c:v>
                </c:pt>
                <c:pt idx="3" formatCode="General">
                  <c:v>50.501217249748848</c:v>
                </c:pt>
                <c:pt idx="4" formatCode="General">
                  <c:v>3.0056080796049529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9C-49E2-8CA3-69D134FB0A45}"/>
            </c:ext>
          </c:extLst>
        </c:ser>
        <c:ser>
          <c:idx val="3"/>
          <c:order val="3"/>
          <c:tx>
            <c:strRef>
              <c:f>'Financial Analysis'!$E$36</c:f>
              <c:strCache>
                <c:ptCount val="1"/>
                <c:pt idx="0">
                  <c:v>2023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'Financial Analysis'!$A$37:$A$41</c:f>
              <c:strCache>
                <c:ptCount val="5"/>
                <c:pt idx="0">
                  <c:v>Inventory turnover </c:v>
                </c:pt>
                <c:pt idx="1">
                  <c:v>Fixed assets turnover </c:v>
                </c:pt>
                <c:pt idx="2">
                  <c:v>Total asset turnover </c:v>
                </c:pt>
                <c:pt idx="3">
                  <c:v>Trade receivables turnover time (days)</c:v>
                </c:pt>
                <c:pt idx="4">
                  <c:v>Total Debt / Cash Flow</c:v>
                </c:pt>
              </c:strCache>
            </c:strRef>
          </c:cat>
          <c:val>
            <c:numRef>
              <c:f>'Financial Analysis'!$E$37:$E$41</c:f>
              <c:numCache>
                <c:formatCode>0.0000</c:formatCode>
                <c:ptCount val="5"/>
                <c:pt idx="0">
                  <c:v>3.9657149626821466</c:v>
                </c:pt>
                <c:pt idx="1">
                  <c:v>1.2215367878662657</c:v>
                </c:pt>
                <c:pt idx="2">
                  <c:v>0.66775155703280953</c:v>
                </c:pt>
                <c:pt idx="3" formatCode="General">
                  <c:v>49.828794667513534</c:v>
                </c:pt>
                <c:pt idx="4" formatCode="General">
                  <c:v>2.8591792744428175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9C-49E2-8CA3-69D134FB0A45}"/>
            </c:ext>
          </c:extLst>
        </c:ser>
        <c:ser>
          <c:idx val="4"/>
          <c:order val="4"/>
          <c:tx>
            <c:strRef>
              <c:f>'Financial Analysis'!$F$36</c:f>
              <c:strCache>
                <c:ptCount val="1"/>
                <c:pt idx="0">
                  <c:v>2024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'Financial Analysis'!$A$37:$A$41</c:f>
              <c:strCache>
                <c:ptCount val="5"/>
                <c:pt idx="0">
                  <c:v>Inventory turnover </c:v>
                </c:pt>
                <c:pt idx="1">
                  <c:v>Fixed assets turnover </c:v>
                </c:pt>
                <c:pt idx="2">
                  <c:v>Total asset turnover </c:v>
                </c:pt>
                <c:pt idx="3">
                  <c:v>Trade receivables turnover time (days)</c:v>
                </c:pt>
                <c:pt idx="4">
                  <c:v>Total Debt / Cash Flow</c:v>
                </c:pt>
              </c:strCache>
            </c:strRef>
          </c:cat>
          <c:val>
            <c:numRef>
              <c:f>'Financial Analysis'!$F$37:$F$41</c:f>
              <c:numCache>
                <c:formatCode>0.0000</c:formatCode>
                <c:ptCount val="5"/>
                <c:pt idx="0">
                  <c:v>3.7673567621994648</c:v>
                </c:pt>
                <c:pt idx="1">
                  <c:v>1.5636637490053427</c:v>
                </c:pt>
                <c:pt idx="2">
                  <c:v>0.75377006959285442</c:v>
                </c:pt>
                <c:pt idx="3" formatCode="General">
                  <c:v>45.93495898019345</c:v>
                </c:pt>
                <c:pt idx="4" formatCode="General">
                  <c:v>3.6153167130323132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9C-49E2-8CA3-69D134FB0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341711"/>
        <c:axId val="224342543"/>
      </c:barChart>
      <c:catAx>
        <c:axId val="22434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42543"/>
        <c:crosses val="autoZero"/>
        <c:auto val="1"/>
        <c:lblAlgn val="ctr"/>
        <c:lblOffset val="100"/>
        <c:noMultiLvlLbl val="0"/>
      </c:catAx>
      <c:valAx>
        <c:axId val="2243425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Ratios</a:t>
                </a:r>
              </a:p>
              <a:p>
                <a:pPr>
                  <a:defRPr/>
                </a:pP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4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Fixed asset</a:t>
            </a:r>
            <a:r>
              <a:rPr lang="en-ZA" baseline="0"/>
              <a:t> turnover</a:t>
            </a:r>
            <a:r>
              <a:rPr lang="en-ZA"/>
              <a:t> vs</a:t>
            </a:r>
            <a:r>
              <a:rPr lang="en-ZA" baseline="0"/>
              <a:t>. Total asset turnover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'Financial Analysis'!$A$38</c:f>
              <c:strCache>
                <c:ptCount val="1"/>
                <c:pt idx="0">
                  <c:v>Fixed assets turnover 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'Financial Analysis'!$B$36:$F$36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Analysis'!$B$38:$F$38</c:f>
              <c:numCache>
                <c:formatCode>0.0000</c:formatCode>
                <c:ptCount val="5"/>
                <c:pt idx="0">
                  <c:v>0.78839646982328404</c:v>
                </c:pt>
                <c:pt idx="1">
                  <c:v>0.95726422787354692</c:v>
                </c:pt>
                <c:pt idx="2">
                  <c:v>1.1658950914135002</c:v>
                </c:pt>
                <c:pt idx="3">
                  <c:v>1.2215367878662657</c:v>
                </c:pt>
                <c:pt idx="4">
                  <c:v>1.5636637490053427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5-49C9-9737-4573BC7E7F76}"/>
            </c:ext>
          </c:extLst>
        </c:ser>
        <c:ser>
          <c:idx val="2"/>
          <c:order val="2"/>
          <c:tx>
            <c:strRef>
              <c:f>'Financial Analysis'!$A$39</c:f>
              <c:strCache>
                <c:ptCount val="1"/>
                <c:pt idx="0">
                  <c:v>Total asset turnover 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'Financial Analysis'!$B$36:$F$36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Analysis'!$B$39:$F$39</c:f>
              <c:numCache>
                <c:formatCode>0.0000</c:formatCode>
                <c:ptCount val="5"/>
                <c:pt idx="0">
                  <c:v>0.40116535134394721</c:v>
                </c:pt>
                <c:pt idx="1">
                  <c:v>0.55970594024000464</c:v>
                </c:pt>
                <c:pt idx="2">
                  <c:v>0.65009486399649141</c:v>
                </c:pt>
                <c:pt idx="3">
                  <c:v>0.66775155703280953</c:v>
                </c:pt>
                <c:pt idx="4">
                  <c:v>0.75377006959285442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F5-49C9-9737-4573BC7E7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294047"/>
        <c:axId val="22928364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'Financial Analysis'!$A$37</c15:sqref>
                        </c15:formulaRef>
                      </c:ext>
                    </c:extLst>
                    <c:strCache>
                      <c:ptCount val="1"/>
                      <c:pt idx="0">
                        <c:v>Inventory turnover </c:v>
                      </c:pt>
                    </c:strCache>
                  </c:strRef>
                </c:tx>
                <c:spPr>
                  <a:ln w="349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'Financial Analysis'!$B$36:$F$36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'Financial Analysis'!$B$37:$F$37</c15:sqref>
                        </c15:formulaRef>
                      </c:ext>
                    </c:extLst>
                    <c:numCache>
                      <c:formatCode>0.0000</c:formatCode>
                      <c:ptCount val="5"/>
                      <c:pt idx="0">
                        <c:v>3.6186468112657817</c:v>
                      </c:pt>
                      <c:pt idx="1">
                        <c:v>3.2776881178131934</c:v>
                      </c:pt>
                      <c:pt idx="2">
                        <c:v>3.3403308197518853</c:v>
                      </c:pt>
                      <c:pt idx="3">
                        <c:v>3.9657149626821466</c:v>
                      </c:pt>
                      <c:pt idx="4">
                        <c:v>3.7673567621994648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4F5-49C9-9737-4573BC7E7F7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'Financial Analysis'!$A$40</c15:sqref>
                        </c15:formulaRef>
                      </c:ext>
                    </c:extLst>
                    <c:strCache>
                      <c:ptCount val="1"/>
                      <c:pt idx="0">
                        <c:v>Trade receivables turnover time (days)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'Financial Analysis'!$B$36:$F$36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'Financial Analysis'!$B$40:$F$40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55.43248041940042</c:v>
                      </c:pt>
                      <c:pt idx="1">
                        <c:v>53.415890743400524</c:v>
                      </c:pt>
                      <c:pt idx="2">
                        <c:v>50.501217249748848</c:v>
                      </c:pt>
                      <c:pt idx="3">
                        <c:v>49.828794667513534</c:v>
                      </c:pt>
                      <c:pt idx="4">
                        <c:v>45.93495898019345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F5-49C9-9737-4573BC7E7F7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'Financial Analysis'!$A$41</c15:sqref>
                        </c15:formulaRef>
                      </c:ext>
                    </c:extLst>
                    <c:strCache>
                      <c:ptCount val="1"/>
                      <c:pt idx="0">
                        <c:v>Total Debt / Cash Flow</c:v>
                      </c:pt>
                    </c:strCache>
                  </c:strRef>
                </c:tx>
                <c:spPr>
                  <a:ln w="349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'Financial Analysis'!$B$36:$F$36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'Financial Analysis'!$B$41:$F$41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6.9704983031484158</c:v>
                      </c:pt>
                      <c:pt idx="1">
                        <c:v>3.4798028689606619</c:v>
                      </c:pt>
                      <c:pt idx="2">
                        <c:v>3.0056080796049529</c:v>
                      </c:pt>
                      <c:pt idx="3">
                        <c:v>2.8591792744428175</c:v>
                      </c:pt>
                      <c:pt idx="4">
                        <c:v>3.6153167130323132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4F5-49C9-9737-4573BC7E7F76}"/>
                  </c:ext>
                </c:extLst>
              </c15:ser>
            </c15:filteredLineSeries>
          </c:ext>
        </c:extLst>
      </c:lineChart>
      <c:catAx>
        <c:axId val="22929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83647"/>
        <c:crosses val="autoZero"/>
        <c:auto val="1"/>
        <c:lblAlgn val="ctr"/>
        <c:lblOffset val="100"/>
        <c:noMultiLvlLbl val="0"/>
      </c:catAx>
      <c:valAx>
        <c:axId val="22928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9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Inventory Turnover vs. Trade receivables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Analysis'!$A$37</c:f>
              <c:strCache>
                <c:ptCount val="1"/>
                <c:pt idx="0">
                  <c:v>Inventory turnover 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'Financial Analysis'!$B$36:$F$36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Analysis'!$B$37:$F$37</c:f>
              <c:numCache>
                <c:formatCode>0.0000</c:formatCode>
                <c:ptCount val="5"/>
                <c:pt idx="0">
                  <c:v>3.6186468112657817</c:v>
                </c:pt>
                <c:pt idx="1">
                  <c:v>3.2776881178131934</c:v>
                </c:pt>
                <c:pt idx="2">
                  <c:v>3.3403308197518853</c:v>
                </c:pt>
                <c:pt idx="3">
                  <c:v>3.9657149626821466</c:v>
                </c:pt>
                <c:pt idx="4">
                  <c:v>3.7673567621994648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E-44A8-8466-2B8CFC286153}"/>
            </c:ext>
          </c:extLst>
        </c:ser>
        <c:ser>
          <c:idx val="3"/>
          <c:order val="3"/>
          <c:tx>
            <c:strRef>
              <c:f>'Financial Analysis'!$A$40</c:f>
              <c:strCache>
                <c:ptCount val="1"/>
                <c:pt idx="0">
                  <c:v>Trade receivables turnover time (days)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'Financial Analysis'!$B$36:$F$36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Analysis'!$B$40:$F$40</c:f>
              <c:numCache>
                <c:formatCode>General</c:formatCode>
                <c:ptCount val="5"/>
                <c:pt idx="0">
                  <c:v>55.43248041940042</c:v>
                </c:pt>
                <c:pt idx="1">
                  <c:v>53.415890743400524</c:v>
                </c:pt>
                <c:pt idx="2">
                  <c:v>50.501217249748848</c:v>
                </c:pt>
                <c:pt idx="3">
                  <c:v>49.828794667513534</c:v>
                </c:pt>
                <c:pt idx="4">
                  <c:v>45.93495898019345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7E-44A8-8466-2B8CFC286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29314015"/>
        <c:axId val="22930486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'Financial Analysis'!$A$38</c15:sqref>
                        </c15:formulaRef>
                      </c:ext>
                    </c:extLst>
                    <c:strCache>
                      <c:ptCount val="1"/>
                      <c:pt idx="0">
                        <c:v>Fixed assets turnover 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'Financial Analysis'!$B$36:$F$36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'Financial Analysis'!$B$38:$F$38</c15:sqref>
                        </c15:formulaRef>
                      </c:ext>
                    </c:extLst>
                    <c:numCache>
                      <c:formatCode>0.0000</c:formatCode>
                      <c:ptCount val="5"/>
                      <c:pt idx="0">
                        <c:v>0.78839646982328404</c:v>
                      </c:pt>
                      <c:pt idx="1">
                        <c:v>0.95726422787354692</c:v>
                      </c:pt>
                      <c:pt idx="2">
                        <c:v>1.1658950914135002</c:v>
                      </c:pt>
                      <c:pt idx="3">
                        <c:v>1.2215367878662657</c:v>
                      </c:pt>
                      <c:pt idx="4">
                        <c:v>1.5636637490053427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77E-44A8-8466-2B8CFC28615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'Financial Analysis'!$A$39</c15:sqref>
                        </c15:formulaRef>
                      </c:ext>
                    </c:extLst>
                    <c:strCache>
                      <c:ptCount val="1"/>
                      <c:pt idx="0">
                        <c:v>Total asset turnover 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3"/>
                    </a:solidFill>
                    <a:miter lim="800000"/>
                  </a:ln>
                  <a:effectLst>
                    <a:glow rad="63500">
                      <a:schemeClr val="accent3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'Financial Analysis'!$B$36:$F$36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'Financial Analysis'!$B$39:$F$39</c15:sqref>
                        </c15:formulaRef>
                      </c:ext>
                    </c:extLst>
                    <c:numCache>
                      <c:formatCode>0.0000</c:formatCode>
                      <c:ptCount val="5"/>
                      <c:pt idx="0">
                        <c:v>0.40116535134394721</c:v>
                      </c:pt>
                      <c:pt idx="1">
                        <c:v>0.55970594024000464</c:v>
                      </c:pt>
                      <c:pt idx="2">
                        <c:v>0.65009486399649141</c:v>
                      </c:pt>
                      <c:pt idx="3">
                        <c:v>0.66775155703280953</c:v>
                      </c:pt>
                      <c:pt idx="4">
                        <c:v>0.75377006959285442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77E-44A8-8466-2B8CFC28615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'Financial Analysis'!$A$41</c15:sqref>
                        </c15:formulaRef>
                      </c:ext>
                    </c:extLst>
                    <c:strCache>
                      <c:ptCount val="1"/>
                      <c:pt idx="0">
                        <c:v>Total Debt / Cash Flow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5"/>
                    </a:solidFill>
                    <a:miter lim="800000"/>
                  </a:ln>
                  <a:effectLst>
                    <a:glow rad="63500">
                      <a:schemeClr val="accent5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'Financial Analysis'!$B$36:$F$36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'Financial Analysis'!$B$41:$F$41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6.9704983031484158</c:v>
                      </c:pt>
                      <c:pt idx="1">
                        <c:v>3.4798028689606619</c:v>
                      </c:pt>
                      <c:pt idx="2">
                        <c:v>3.0056080796049529</c:v>
                      </c:pt>
                      <c:pt idx="3">
                        <c:v>2.8591792744428175</c:v>
                      </c:pt>
                      <c:pt idx="4">
                        <c:v>3.6153167130323132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7E-44A8-8466-2B8CFC286153}"/>
                  </c:ext>
                </c:extLst>
              </c15:ser>
            </c15:filteredBarSeries>
          </c:ext>
        </c:extLst>
      </c:barChart>
      <c:catAx>
        <c:axId val="2293140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04863"/>
        <c:crosses val="autoZero"/>
        <c:auto val="1"/>
        <c:lblAlgn val="ctr"/>
        <c:lblOffset val="100"/>
        <c:noMultiLvlLbl val="0"/>
      </c:catAx>
      <c:valAx>
        <c:axId val="2293048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1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Liquidity</a:t>
            </a:r>
            <a:r>
              <a:rPr lang="en-ZA" baseline="0"/>
              <a:t> Analysis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Analysis'!$A$4</c:f>
              <c:strCache>
                <c:ptCount val="1"/>
                <c:pt idx="0">
                  <c:v>Cash Ratio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'Financial Analysis'!$B$3:$F$3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Analysis'!$B$4:$F$4</c:f>
              <c:numCache>
                <c:formatCode>0.0000</c:formatCode>
                <c:ptCount val="5"/>
                <c:pt idx="0">
                  <c:v>0.37306428402671876</c:v>
                </c:pt>
                <c:pt idx="1">
                  <c:v>0.54254395108053644</c:v>
                </c:pt>
                <c:pt idx="2">
                  <c:v>0.47006265322800328</c:v>
                </c:pt>
                <c:pt idx="3">
                  <c:v>0.52844277636775217</c:v>
                </c:pt>
                <c:pt idx="4">
                  <c:v>0.83279199926598768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7-43D0-A27E-0B4676F8A6BE}"/>
            </c:ext>
          </c:extLst>
        </c:ser>
        <c:ser>
          <c:idx val="1"/>
          <c:order val="1"/>
          <c:tx>
            <c:strRef>
              <c:f>'Financial Analysis'!$A$5</c:f>
              <c:strCache>
                <c:ptCount val="1"/>
                <c:pt idx="0">
                  <c:v>Current Ratio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'Financial Analysis'!$B$3:$F$3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Analysis'!$B$5:$F$5</c:f>
              <c:numCache>
                <c:formatCode>General</c:formatCode>
                <c:ptCount val="5"/>
                <c:pt idx="0">
                  <c:v>1.9112201722545588</c:v>
                </c:pt>
                <c:pt idx="1">
                  <c:v>1.8269057049544855</c:v>
                </c:pt>
                <c:pt idx="2">
                  <c:v>1.4410896213565787</c:v>
                </c:pt>
                <c:pt idx="3">
                  <c:v>1.318304310758768</c:v>
                </c:pt>
                <c:pt idx="4">
                  <c:v>2.3253692999357738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7-43D0-A27E-0B4676F8A6BE}"/>
            </c:ext>
          </c:extLst>
        </c:ser>
        <c:ser>
          <c:idx val="2"/>
          <c:order val="2"/>
          <c:tx>
            <c:strRef>
              <c:f>'Financial Analysis'!$A$6</c:f>
              <c:strCache>
                <c:ptCount val="1"/>
                <c:pt idx="0">
                  <c:v>Quick Ratio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'Financial Analysis'!$B$3:$F$3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Analysis'!$B$6:$F$6</c:f>
              <c:numCache>
                <c:formatCode>0.0000</c:formatCode>
                <c:ptCount val="5"/>
                <c:pt idx="0">
                  <c:v>1.6126635022229858</c:v>
                </c:pt>
                <c:pt idx="1">
                  <c:v>1.310228615106664</c:v>
                </c:pt>
                <c:pt idx="2">
                  <c:v>0.99314628166712071</c:v>
                </c:pt>
                <c:pt idx="3">
                  <c:v>0.90472037394533888</c:v>
                </c:pt>
                <c:pt idx="4">
                  <c:v>1.5781631342324984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37-43D0-A27E-0B4676F8A6BE}"/>
            </c:ext>
          </c:extLst>
        </c:ser>
        <c:ser>
          <c:idx val="3"/>
          <c:order val="3"/>
          <c:tx>
            <c:strRef>
              <c:f>'Financial Analysis'!$A$7</c:f>
              <c:strCache>
                <c:ptCount val="1"/>
                <c:pt idx="0">
                  <c:v>Net working capital to sales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'Financial Analysis'!$B$3:$F$3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Analysis'!$B$7:$F$7</c:f>
              <c:numCache>
                <c:formatCode>0.0000</c:formatCode>
                <c:ptCount val="5"/>
                <c:pt idx="0">
                  <c:v>0.4457232608592876</c:v>
                </c:pt>
                <c:pt idx="1">
                  <c:v>0.2357486008617701</c:v>
                </c:pt>
                <c:pt idx="2">
                  <c:v>0.14842014181692856</c:v>
                </c:pt>
                <c:pt idx="3">
                  <c:v>0.11212443388931846</c:v>
                </c:pt>
                <c:pt idx="4">
                  <c:v>0.26253403171810652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37-43D0-A27E-0B4676F8A6BE}"/>
            </c:ext>
          </c:extLst>
        </c:ser>
        <c:ser>
          <c:idx val="4"/>
          <c:order val="4"/>
          <c:tx>
            <c:strRef>
              <c:f>'Financial Analysis'!$A$8</c:f>
              <c:strCache>
                <c:ptCount val="1"/>
                <c:pt idx="0">
                  <c:v>Interest Coverage ratio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'Financial Analysis'!$B$3:$F$3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Analysis'!$B$8:$F$8</c:f>
              <c:numCache>
                <c:formatCode>0.0000</c:formatCode>
                <c:ptCount val="5"/>
                <c:pt idx="0">
                  <c:v>1.8113438520130576</c:v>
                </c:pt>
                <c:pt idx="1">
                  <c:v>3.8205930561764267</c:v>
                </c:pt>
                <c:pt idx="2">
                  <c:v>8.7316354816354824</c:v>
                </c:pt>
                <c:pt idx="3">
                  <c:v>5.8923515856468782</c:v>
                </c:pt>
                <c:pt idx="4">
                  <c:v>4.3686424100156493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37-43D0-A27E-0B4676F8A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29336479"/>
        <c:axId val="229341887"/>
      </c:barChart>
      <c:catAx>
        <c:axId val="22933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41887"/>
        <c:crosses val="autoZero"/>
        <c:auto val="1"/>
        <c:lblAlgn val="ctr"/>
        <c:lblOffset val="100"/>
        <c:noMultiLvlLbl val="0"/>
      </c:catAx>
      <c:valAx>
        <c:axId val="2293418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3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'Financial Analysis'!$A$46</c:f>
              <c:strCache>
                <c:ptCount val="1"/>
                <c:pt idx="0">
                  <c:v>Debt to equity ratio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delete val="1"/>
          </c:dLbls>
          <c:cat>
            <c:numRef>
              <c:f>'Financial Analysis'!$B$43:$F$43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Analysis'!$B$46:$F$46</c:f>
              <c:numCache>
                <c:formatCode>General</c:formatCode>
                <c:ptCount val="5"/>
                <c:pt idx="0">
                  <c:v>1.330509181166903</c:v>
                </c:pt>
                <c:pt idx="1">
                  <c:v>0.77800368594683578</c:v>
                </c:pt>
                <c:pt idx="2">
                  <c:v>0.62694037692096671</c:v>
                </c:pt>
                <c:pt idx="3">
                  <c:v>0.6976985371469403</c:v>
                </c:pt>
                <c:pt idx="4">
                  <c:v>0.91675880266165632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F-6946-B639-8D522A2450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034642864"/>
        <c:axId val="2050768592"/>
        <c:axId val="0"/>
      </c:bar3DChart>
      <c:catAx>
        <c:axId val="203464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68592"/>
        <c:crosses val="autoZero"/>
        <c:auto val="1"/>
        <c:lblAlgn val="ctr"/>
        <c:lblOffset val="100"/>
        <c:noMultiLvlLbl val="0"/>
      </c:catAx>
      <c:valAx>
        <c:axId val="2050768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64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Debt</a:t>
            </a:r>
            <a:r>
              <a:rPr lang="en-GB" baseline="0"/>
              <a:t> Ratio vs Equity Ratio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'Financial Analysis'!$A$45</c:f>
              <c:strCache>
                <c:ptCount val="1"/>
                <c:pt idx="0">
                  <c:v>Debt ratio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'Financial Analysis'!$B$45:$F$45</c:f>
              <c:numCache>
                <c:formatCode>General</c:formatCode>
                <c:ptCount val="5"/>
                <c:pt idx="0">
                  <c:v>0.67143203346433877</c:v>
                </c:pt>
                <c:pt idx="1">
                  <c:v>0.57734176408135429</c:v>
                </c:pt>
                <c:pt idx="2">
                  <c:v>0.53951156959394397</c:v>
                </c:pt>
                <c:pt idx="3">
                  <c:v>0.53548559600588241</c:v>
                </c:pt>
                <c:pt idx="4">
                  <c:v>0.59606827771384729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7-F94E-AB23-64AE8D896EBC}"/>
            </c:ext>
          </c:extLst>
        </c:ser>
        <c:ser>
          <c:idx val="1"/>
          <c:order val="1"/>
          <c:tx>
            <c:strRef>
              <c:f>'Financial Analysis'!$A$48</c:f>
              <c:strCache>
                <c:ptCount val="1"/>
                <c:pt idx="0">
                  <c:v>Equity ratio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'Financial Analysis'!$B$48:$F$48</c:f>
              <c:numCache>
                <c:formatCode>0.0000</c:formatCode>
                <c:ptCount val="5"/>
                <c:pt idx="0">
                  <c:v>0.32856796653566123</c:v>
                </c:pt>
                <c:pt idx="1">
                  <c:v>0.42265823591864571</c:v>
                </c:pt>
                <c:pt idx="2">
                  <c:v>0.46048843040605603</c:v>
                </c:pt>
                <c:pt idx="3">
                  <c:v>0.46451440399411764</c:v>
                </c:pt>
                <c:pt idx="4">
                  <c:v>0.40393172228615265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7-F94E-AB23-64AE8D896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1011392"/>
        <c:axId val="10032239"/>
      </c:barChart>
      <c:catAx>
        <c:axId val="2051011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239"/>
        <c:crosses val="autoZero"/>
        <c:auto val="1"/>
        <c:lblAlgn val="ctr"/>
        <c:lblOffset val="100"/>
        <c:noMultiLvlLbl val="0"/>
      </c:catAx>
      <c:valAx>
        <c:axId val="100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1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Growth Potential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Analysis'!$A$59</c:f>
              <c:strCache>
                <c:ptCount val="1"/>
                <c:pt idx="0">
                  <c:v>Enterprise Value / Cash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'Financial Analysis'!$B$58:$F$58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Analysis'!$B$59:$F$59</c:f>
              <c:numCache>
                <c:formatCode>General</c:formatCode>
                <c:ptCount val="5"/>
                <c:pt idx="0">
                  <c:v>2394.4096371743572</c:v>
                </c:pt>
                <c:pt idx="1">
                  <c:v>4398.9186091281099</c:v>
                </c:pt>
                <c:pt idx="2">
                  <c:v>5440.0505800018545</c:v>
                </c:pt>
                <c:pt idx="3">
                  <c:v>2727.9797817794756</c:v>
                </c:pt>
                <c:pt idx="4">
                  <c:v>1934.1522676773241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34-1F43-A7A9-53CCB50A6937}"/>
            </c:ext>
          </c:extLst>
        </c:ser>
        <c:ser>
          <c:idx val="1"/>
          <c:order val="1"/>
          <c:tx>
            <c:strRef>
              <c:f>'Financial Analysis'!$A$60</c:f>
              <c:strCache>
                <c:ptCount val="1"/>
                <c:pt idx="0">
                  <c:v>Enterprise Value / EBIT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'Financial Analysis'!$B$58:$F$58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Analysis'!$B$60:$F$60</c:f>
              <c:numCache>
                <c:formatCode>General</c:formatCode>
                <c:ptCount val="5"/>
                <c:pt idx="0">
                  <c:v>132.47506533502468</c:v>
                </c:pt>
                <c:pt idx="1">
                  <c:v>218.14876905421127</c:v>
                </c:pt>
                <c:pt idx="2">
                  <c:v>371.80354648333895</c:v>
                </c:pt>
                <c:pt idx="3">
                  <c:v>233.39751838102757</c:v>
                </c:pt>
                <c:pt idx="4">
                  <c:v>138.14127994398055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34-1F43-A7A9-53CCB50A6937}"/>
            </c:ext>
          </c:extLst>
        </c:ser>
        <c:ser>
          <c:idx val="2"/>
          <c:order val="2"/>
          <c:tx>
            <c:strRef>
              <c:f>'Financial Analysis'!$A$61</c:f>
              <c:strCache>
                <c:ptCount val="1"/>
                <c:pt idx="0">
                  <c:v>Enterprise Value / EBITDA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'Financial Analysis'!$B$58:$F$58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Analysis'!$B$61:$F$61</c:f>
              <c:numCache>
                <c:formatCode>General</c:formatCode>
                <c:ptCount val="5"/>
                <c:pt idx="0">
                  <c:v>2336.434268301452</c:v>
                </c:pt>
                <c:pt idx="1">
                  <c:v>3173.5418591286671</c:v>
                </c:pt>
                <c:pt idx="2">
                  <c:v>3640.0884418240475</c:v>
                </c:pt>
                <c:pt idx="3">
                  <c:v>2140.1725084341765</c:v>
                </c:pt>
                <c:pt idx="4">
                  <c:v>1516.571336132276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34-1F43-A7A9-53CCB50A6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9023"/>
        <c:axId val="273480911"/>
      </c:lineChart>
      <c:catAx>
        <c:axId val="651990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80911"/>
        <c:crosses val="autoZero"/>
        <c:auto val="1"/>
        <c:lblAlgn val="ctr"/>
        <c:lblOffset val="100"/>
        <c:noMultiLvlLbl val="0"/>
      </c:catAx>
      <c:valAx>
        <c:axId val="2734809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Analysis'!$A$34</c:f>
              <c:strCache>
                <c:ptCount val="1"/>
                <c:pt idx="0">
                  <c:v>Turnover / Employee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'Financial Analysis'!$B$26:$F$26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Analysis'!$B$34:$F$34</c:f>
              <c:numCache>
                <c:formatCode>General</c:formatCode>
                <c:ptCount val="5"/>
                <c:pt idx="0">
                  <c:v>620694.48972937721</c:v>
                </c:pt>
                <c:pt idx="1">
                  <c:v>702906.87554395129</c:v>
                </c:pt>
                <c:pt idx="2">
                  <c:v>964482.4781640087</c:v>
                </c:pt>
                <c:pt idx="3">
                  <c:v>1010908.3295529889</c:v>
                </c:pt>
                <c:pt idx="4">
                  <c:v>993969.94002456835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9-8B48-9D9B-7D448B167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46555680"/>
        <c:axId val="2096723808"/>
      </c:barChart>
      <c:catAx>
        <c:axId val="2146555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23808"/>
        <c:crosses val="autoZero"/>
        <c:auto val="1"/>
        <c:lblAlgn val="ctr"/>
        <c:lblOffset val="100"/>
        <c:noMultiLvlLbl val="0"/>
      </c:catAx>
      <c:valAx>
        <c:axId val="2096723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55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Analysis'!$A$24</c:f>
              <c:strCache>
                <c:ptCount val="1"/>
                <c:pt idx="0">
                  <c:v>Reinvestment Rate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Analysis'!$B$26:$F$26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'Financial Analysis'!$B$24:$F$24</c:f>
              <c:numCache>
                <c:formatCode>General</c:formatCode>
                <c:ptCount val="5"/>
                <c:pt idx="0">
                  <c:v>1.1815463190080979</c:v>
                </c:pt>
                <c:pt idx="1">
                  <c:v>0.48036023350640972</c:v>
                </c:pt>
                <c:pt idx="2">
                  <c:v>0.57723516712573508</c:v>
                </c:pt>
                <c:pt idx="3">
                  <c:v>0.62741987961607293</c:v>
                </c:pt>
                <c:pt idx="4">
                  <c:v>0.80673550181896003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B-F54B-AC71-4E62B23D46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5755647"/>
        <c:axId val="2088324544"/>
      </c:lineChart>
      <c:catAx>
        <c:axId val="657556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24544"/>
        <c:crosses val="autoZero"/>
        <c:auto val="1"/>
        <c:lblAlgn val="ctr"/>
        <c:lblOffset val="100"/>
        <c:noMultiLvlLbl val="0"/>
      </c:catAx>
      <c:valAx>
        <c:axId val="2088324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Threat</a:t>
            </a:r>
            <a:r>
              <a:rPr lang="en-GB" baseline="0"/>
              <a:t> Levels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4BA-984B-93C8-F6D2C7D16D5F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84BA-984B-93C8-F6D2C7D16D5F}"/>
              </c:ext>
            </c:extLst>
          </c:dPt>
          <c:dPt>
            <c:idx val="2"/>
            <c:invertIfNegative val="0"/>
            <c:bubble3D val="0"/>
            <c:spPr>
              <a:solidFill>
                <a:srgbClr val="FFE338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4BA-984B-93C8-F6D2C7D16D5F}"/>
              </c:ext>
            </c:extLst>
          </c:dPt>
          <c:dPt>
            <c:idx val="3"/>
            <c:invertIfNegative val="0"/>
            <c:bubble3D val="0"/>
            <c:spPr>
              <a:solidFill>
                <a:srgbClr val="FF7A4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84BA-984B-93C8-F6D2C7D16D5F}"/>
              </c:ext>
            </c:extLst>
          </c:dPt>
          <c:cat>
            <c:strRef>
              <c:f>'Financial Analysis'!$A$105:$A$109</c:f>
              <c:strCache>
                <c:ptCount val="5"/>
                <c:pt idx="0">
                  <c:v>New Entrants</c:v>
                </c:pt>
                <c:pt idx="1">
                  <c:v>Suppliers</c:v>
                </c:pt>
                <c:pt idx="2">
                  <c:v>Power of Buyers</c:v>
                </c:pt>
                <c:pt idx="3">
                  <c:v>Substituions </c:v>
                </c:pt>
                <c:pt idx="4">
                  <c:v>Industry rivals </c:v>
                </c:pt>
              </c:strCache>
            </c:strRef>
          </c:cat>
          <c:val>
            <c:numRef>
              <c:f>'Financial Analysis'!$B$105:$B$109</c:f>
              <c:numCache>
                <c:formatCode>0%</c:formatCode>
                <c:ptCount val="5"/>
                <c:pt idx="0">
                  <c:v>0.35</c:v>
                </c:pt>
                <c:pt idx="1">
                  <c:v>0.56000000000000005</c:v>
                </c:pt>
                <c:pt idx="2">
                  <c:v>0.69</c:v>
                </c:pt>
                <c:pt idx="3">
                  <c:v>0.85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A-984B-93C8-F6D2C7D16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5325855"/>
        <c:axId val="68920911"/>
        <c:axId val="0"/>
      </c:bar3DChart>
      <c:catAx>
        <c:axId val="23532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20911"/>
        <c:crosses val="autoZero"/>
        <c:auto val="1"/>
        <c:lblAlgn val="ctr"/>
        <c:lblOffset val="100"/>
        <c:noMultiLvlLbl val="0"/>
      </c:catAx>
      <c:valAx>
        <c:axId val="6892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2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forcast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valuation!$B$12</c:f>
              <c:strCache>
                <c:ptCount val="1"/>
                <c:pt idx="0">
                  <c:v>Revenue 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valuation!$A$13:$A$17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valuation!$B$13:$B$17</c:f>
              <c:numCache>
                <c:formatCode>General</c:formatCode>
                <c:ptCount val="5"/>
                <c:pt idx="0">
                  <c:v>2916186600000</c:v>
                </c:pt>
                <c:pt idx="1">
                  <c:v>3091157796000</c:v>
                </c:pt>
                <c:pt idx="2">
                  <c:v>3245715685800</c:v>
                </c:pt>
                <c:pt idx="3">
                  <c:v>3375544313232</c:v>
                </c:pt>
                <c:pt idx="4">
                  <c:v>3476810642628.96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0-2140-826C-B086EE4933C5}"/>
            </c:ext>
          </c:extLst>
        </c:ser>
        <c:ser>
          <c:idx val="1"/>
          <c:order val="1"/>
          <c:tx>
            <c:strRef>
              <c:f>valuation!$D$12</c:f>
              <c:strCache>
                <c:ptCount val="1"/>
                <c:pt idx="0">
                  <c:v>EBITDA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valuation!$A$13:$A$17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valuation!$D$13:$D$17</c:f>
              <c:numCache>
                <c:formatCode>General</c:formatCode>
                <c:ptCount val="5"/>
                <c:pt idx="0">
                  <c:v>612399186000</c:v>
                </c:pt>
                <c:pt idx="1">
                  <c:v>664598926140</c:v>
                </c:pt>
                <c:pt idx="2">
                  <c:v>714057450876</c:v>
                </c:pt>
                <c:pt idx="3">
                  <c:v>742619748911.04004</c:v>
                </c:pt>
                <c:pt idx="4">
                  <c:v>782282394591.51599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0-2140-826C-B086EE4933C5}"/>
            </c:ext>
          </c:extLst>
        </c:ser>
        <c:ser>
          <c:idx val="2"/>
          <c:order val="2"/>
          <c:tx>
            <c:strRef>
              <c:f>valuation!$E$12</c:f>
              <c:strCache>
                <c:ptCount val="1"/>
                <c:pt idx="0">
                  <c:v>EBIT 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valuation!$A$13:$A$17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valuation!$E$13:$E$17</c:f>
              <c:numCache>
                <c:formatCode>General</c:formatCode>
                <c:ptCount val="5"/>
                <c:pt idx="0">
                  <c:v>597899186000</c:v>
                </c:pt>
                <c:pt idx="1">
                  <c:v>650098926140</c:v>
                </c:pt>
                <c:pt idx="2">
                  <c:v>699557450876</c:v>
                </c:pt>
                <c:pt idx="3">
                  <c:v>728119748911.04004</c:v>
                </c:pt>
                <c:pt idx="4">
                  <c:v>767782394591.51599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F0-2140-826C-B086EE49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1782851344"/>
        <c:axId val="9765263"/>
      </c:barChart>
      <c:catAx>
        <c:axId val="17828513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5263"/>
        <c:crosses val="autoZero"/>
        <c:auto val="1"/>
        <c:lblAlgn val="ctr"/>
        <c:lblOffset val="100"/>
        <c:noMultiLvlLbl val="0"/>
      </c:catAx>
      <c:valAx>
        <c:axId val="97652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85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2</xdr:row>
      <xdr:rowOff>176212</xdr:rowOff>
    </xdr:from>
    <xdr:to>
      <xdr:col>15</xdr:col>
      <xdr:colOff>381000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A4345-6276-4269-88C2-84BA7C82B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642937</xdr:colOff>
      <xdr:row>34</xdr:row>
      <xdr:rowOff>147637</xdr:rowOff>
    </xdr:from>
    <xdr:to>
      <xdr:col>14</xdr:col>
      <xdr:colOff>274637</xdr:colOff>
      <xdr:row>45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2389C3-1F25-431B-A060-C822A25E7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625475</xdr:colOff>
      <xdr:row>47</xdr:row>
      <xdr:rowOff>39687</xdr:rowOff>
    </xdr:from>
    <xdr:to>
      <xdr:col>14</xdr:col>
      <xdr:colOff>320675</xdr:colOff>
      <xdr:row>61</xdr:row>
      <xdr:rowOff>115887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F6EDF7-818A-41DB-A88C-7129BAA1E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533400</xdr:colOff>
      <xdr:row>18</xdr:row>
      <xdr:rowOff>90487</xdr:rowOff>
    </xdr:from>
    <xdr:to>
      <xdr:col>14</xdr:col>
      <xdr:colOff>228600</xdr:colOff>
      <xdr:row>32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9C87CF-74FA-41C7-A02A-4CBEA75C8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1816100</xdr:colOff>
      <xdr:row>100</xdr:row>
      <xdr:rowOff>147637</xdr:rowOff>
    </xdr:from>
    <xdr:to>
      <xdr:col>3</xdr:col>
      <xdr:colOff>419100</xdr:colOff>
      <xdr:row>115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D2FFF4-D7AA-48D0-A54E-A8DA175E0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3</xdr:row>
      <xdr:rowOff>14287</xdr:rowOff>
    </xdr:from>
    <xdr:to>
      <xdr:col>15</xdr:col>
      <xdr:colOff>19050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6899F-55BC-41B4-84F0-E2FDC412D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1</xdr:row>
      <xdr:rowOff>138112</xdr:rowOff>
    </xdr:from>
    <xdr:to>
      <xdr:col>21</xdr:col>
      <xdr:colOff>266700</xdr:colOff>
      <xdr:row>15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1C8AB4-0789-45F6-8FD9-46CC3F654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304152</xdr:colOff>
      <xdr:row>28</xdr:row>
      <xdr:rowOff>186191</xdr:rowOff>
    </xdr:from>
    <xdr:to>
      <xdr:col>13</xdr:col>
      <xdr:colOff>608953</xdr:colOff>
      <xdr:row>42</xdr:row>
      <xdr:rowOff>121719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18AAF6-4091-4ABE-B3E6-5AFAD9FB8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676178</xdr:colOff>
      <xdr:row>30</xdr:row>
      <xdr:rowOff>72539</xdr:rowOff>
    </xdr:from>
    <xdr:to>
      <xdr:col>22</xdr:col>
      <xdr:colOff>371377</xdr:colOff>
      <xdr:row>44</xdr:row>
      <xdr:rowOff>15389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B542DE-8094-4321-8F25-11DDD943A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171450</xdr:colOff>
      <xdr:row>13</xdr:row>
      <xdr:rowOff>161925</xdr:rowOff>
    </xdr:from>
    <xdr:to>
      <xdr:col>12</xdr:col>
      <xdr:colOff>38100</xdr:colOff>
      <xdr:row>25</xdr:row>
      <xdr:rowOff>47625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73942C4-F07D-467B-9E7A-0573DC48F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352392</xdr:colOff>
      <xdr:row>61</xdr:row>
      <xdr:rowOff>57334</xdr:rowOff>
    </xdr:from>
    <xdr:to>
      <xdr:col>21</xdr:col>
      <xdr:colOff>660215</xdr:colOff>
      <xdr:row>75</xdr:row>
      <xdr:rowOff>184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648E2E9-31A1-4486-8ACE-C1DF50525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240230</xdr:colOff>
      <xdr:row>61</xdr:row>
      <xdr:rowOff>46620</xdr:rowOff>
    </xdr:from>
    <xdr:to>
      <xdr:col>13</xdr:col>
      <xdr:colOff>545030</xdr:colOff>
      <xdr:row>75</xdr:row>
      <xdr:rowOff>87280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1440395-335F-446F-808E-44C8C554A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209550</xdr:colOff>
      <xdr:row>45</xdr:row>
      <xdr:rowOff>90487</xdr:rowOff>
    </xdr:from>
    <xdr:to>
      <xdr:col>21</xdr:col>
      <xdr:colOff>514350</xdr:colOff>
      <xdr:row>59</xdr:row>
      <xdr:rowOff>33337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C285136-7E5F-4155-BDA8-AB680FD72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247650</xdr:colOff>
      <xdr:row>0</xdr:row>
      <xdr:rowOff>57150</xdr:rowOff>
    </xdr:from>
    <xdr:to>
      <xdr:col>10</xdr:col>
      <xdr:colOff>519112</xdr:colOff>
      <xdr:row>12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877A3C5-9E99-49D7-A93C-A8567E3AD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530537</xdr:colOff>
      <xdr:row>45</xdr:row>
      <xdr:rowOff>8834</xdr:rowOff>
    </xdr:from>
    <xdr:to>
      <xdr:col>13</xdr:col>
      <xdr:colOff>232363</xdr:colOff>
      <xdr:row>58</xdr:row>
      <xdr:rowOff>167861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C79754-8670-A76C-69FB-46222F5F4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452783</xdr:colOff>
      <xdr:row>69</xdr:row>
      <xdr:rowOff>130313</xdr:rowOff>
    </xdr:from>
    <xdr:to>
      <xdr:col>1</xdr:col>
      <xdr:colOff>364434</xdr:colOff>
      <xdr:row>83</xdr:row>
      <xdr:rowOff>121478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6948F7-730F-BF63-864F-E0D3A43F9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982870</xdr:colOff>
      <xdr:row>69</xdr:row>
      <xdr:rowOff>174487</xdr:rowOff>
    </xdr:from>
    <xdr:to>
      <xdr:col>5</xdr:col>
      <xdr:colOff>750957</xdr:colOff>
      <xdr:row>83</xdr:row>
      <xdr:rowOff>110435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C58CC1-F251-6417-E137-A3EC3D46E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535609</xdr:colOff>
      <xdr:row>84</xdr:row>
      <xdr:rowOff>196574</xdr:rowOff>
    </xdr:from>
    <xdr:to>
      <xdr:col>1</xdr:col>
      <xdr:colOff>336826</xdr:colOff>
      <xdr:row>98</xdr:row>
      <xdr:rowOff>156817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F2F775A-66C5-922C-98E3-2E1ED1764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250957</xdr:colOff>
      <xdr:row>15</xdr:row>
      <xdr:rowOff>182149</xdr:rowOff>
    </xdr:from>
    <xdr:to>
      <xdr:col>20</xdr:col>
      <xdr:colOff>652580</xdr:colOff>
      <xdr:row>29</xdr:row>
      <xdr:rowOff>142392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8198657-F217-993B-9948-9564C4EBC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505295</xdr:colOff>
      <xdr:row>79</xdr:row>
      <xdr:rowOff>53008</xdr:rowOff>
    </xdr:from>
    <xdr:to>
      <xdr:col>13</xdr:col>
      <xdr:colOff>196980</xdr:colOff>
      <xdr:row>93</xdr:row>
      <xdr:rowOff>13252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FC5FF24-8B53-91E8-97D5-840274DE4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639380</xdr:colOff>
      <xdr:row>21</xdr:row>
      <xdr:rowOff>40180</xdr:rowOff>
    </xdr:from>
    <xdr:to>
      <xdr:col>8</xdr:col>
      <xdr:colOff>2233449</xdr:colOff>
      <xdr:row>35</xdr:row>
      <xdr:rowOff>177691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A8996F-433F-A20F-D469-6FB41C01D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1"/>
  <sheetViews>
    <sheetView tabSelected="1" workbookViewId="0">
      <selection activeCell="P43" sqref="P43"/>
    </sheetView>
  </sheetViews>
  <sheetFormatPr baseColWidth="10" defaultColWidth="8.83203125" defaultRowHeight="15"/>
  <cols>
    <col min="1" max="1" width="45.33203125" customWidth="1"/>
    <col min="2" max="6" width="12.6640625" bestFit="1" customWidth="1"/>
    <col min="17" max="24" width="12.1640625" bestFit="1" customWidth="1"/>
  </cols>
  <sheetData>
    <row r="1" spans="1:6">
      <c r="A1" s="26" t="s">
        <v>115</v>
      </c>
      <c r="B1" s="18"/>
      <c r="C1" s="18"/>
      <c r="D1" s="18"/>
      <c r="E1" s="18"/>
      <c r="F1" s="19"/>
    </row>
    <row r="2" spans="1:6">
      <c r="A2" s="27" t="s">
        <v>116</v>
      </c>
      <c r="F2" s="20"/>
    </row>
    <row r="3" spans="1:6">
      <c r="A3" s="14" t="s">
        <v>9</v>
      </c>
      <c r="B3" s="21" t="s">
        <v>113</v>
      </c>
      <c r="C3" s="21" t="s">
        <v>113</v>
      </c>
      <c r="D3" s="21" t="s">
        <v>113</v>
      </c>
      <c r="E3" s="21" t="s">
        <v>113</v>
      </c>
      <c r="F3" s="22" t="s">
        <v>113</v>
      </c>
    </row>
    <row r="4" spans="1:6">
      <c r="A4" s="15"/>
      <c r="B4" s="16">
        <v>2020</v>
      </c>
      <c r="C4" s="16">
        <v>2021</v>
      </c>
      <c r="D4" s="16">
        <v>2022</v>
      </c>
      <c r="E4" s="16">
        <v>2023</v>
      </c>
      <c r="F4" s="17">
        <v>2024</v>
      </c>
    </row>
    <row r="5" spans="1:6">
      <c r="A5" s="3" t="s">
        <v>10</v>
      </c>
      <c r="B5" s="23">
        <v>190367000</v>
      </c>
      <c r="C5" s="23">
        <v>201910000</v>
      </c>
      <c r="D5" s="23">
        <v>272746000</v>
      </c>
      <c r="E5" s="23">
        <v>289696000</v>
      </c>
      <c r="F5" s="23">
        <v>275111000</v>
      </c>
    </row>
    <row r="6" spans="1:6">
      <c r="A6" s="3" t="s">
        <v>11</v>
      </c>
      <c r="B6" s="13" t="s">
        <v>114</v>
      </c>
      <c r="C6" s="3">
        <f>(C5-B5)/B5 *100</f>
        <v>6.0635509305709494</v>
      </c>
      <c r="D6" s="3">
        <f>(D5-C5)/C5 *100</f>
        <v>35.082957753454508</v>
      </c>
      <c r="E6" s="3">
        <f>(E5-D5)/D5 *100</f>
        <v>6.2145732659690704</v>
      </c>
      <c r="F6" s="3">
        <f>(F5-E5)/E5 *100</f>
        <v>-5.0345879818844574</v>
      </c>
    </row>
    <row r="7" spans="1:6">
      <c r="A7" s="3" t="s">
        <v>12</v>
      </c>
      <c r="B7" s="23">
        <v>100602000</v>
      </c>
      <c r="C7" s="23">
        <v>97485000</v>
      </c>
      <c r="D7" s="23">
        <v>137321000</v>
      </c>
      <c r="E7" s="23">
        <v>167373000</v>
      </c>
      <c r="F7" s="23">
        <v>153403000</v>
      </c>
    </row>
    <row r="8" spans="1:6">
      <c r="A8" s="2" t="s">
        <v>13</v>
      </c>
      <c r="B8" s="25">
        <v>89765000</v>
      </c>
      <c r="C8" s="25">
        <v>104425000</v>
      </c>
      <c r="D8" s="25">
        <v>135425000</v>
      </c>
      <c r="E8" s="25">
        <v>122323000</v>
      </c>
      <c r="F8" s="25">
        <v>121708000</v>
      </c>
    </row>
    <row r="9" spans="1:6">
      <c r="A9" s="2" t="s">
        <v>14</v>
      </c>
      <c r="B9" s="25">
        <v>89765000</v>
      </c>
      <c r="C9" s="25">
        <v>104425000</v>
      </c>
      <c r="D9" s="25">
        <v>135425000</v>
      </c>
      <c r="E9" s="25">
        <v>122323000</v>
      </c>
      <c r="F9" s="25">
        <v>121708000</v>
      </c>
    </row>
    <row r="10" spans="1:6">
      <c r="A10" s="3"/>
      <c r="B10" s="3" t="s">
        <v>1</v>
      </c>
      <c r="C10" s="3" t="s">
        <v>1</v>
      </c>
      <c r="D10" s="3" t="s">
        <v>1</v>
      </c>
      <c r="E10" s="3" t="s">
        <v>1</v>
      </c>
      <c r="F10" s="3" t="s">
        <v>1</v>
      </c>
    </row>
    <row r="11" spans="1:6">
      <c r="A11" s="3" t="s">
        <v>117</v>
      </c>
      <c r="B11" s="23">
        <v>39119000</v>
      </c>
      <c r="C11" s="23">
        <v>40932000</v>
      </c>
      <c r="D11" s="23">
        <v>41164000</v>
      </c>
      <c r="E11" s="23">
        <v>44063000</v>
      </c>
      <c r="F11" s="23">
        <v>45915000</v>
      </c>
    </row>
    <row r="12" spans="1:6">
      <c r="A12" s="3" t="s">
        <v>118</v>
      </c>
      <c r="B12" s="23">
        <v>608000</v>
      </c>
      <c r="C12" s="3" t="s">
        <v>119</v>
      </c>
      <c r="D12" s="3" t="s">
        <v>119</v>
      </c>
      <c r="E12" s="3" t="s">
        <v>119</v>
      </c>
      <c r="F12" s="3" t="s">
        <v>119</v>
      </c>
    </row>
    <row r="13" spans="1:6">
      <c r="A13" s="3" t="s">
        <v>120</v>
      </c>
      <c r="B13" s="23">
        <v>22327000</v>
      </c>
      <c r="C13" s="23">
        <v>17644000</v>
      </c>
      <c r="D13" s="23">
        <v>14073000</v>
      </c>
      <c r="E13" s="23">
        <v>16491000</v>
      </c>
      <c r="F13" s="23">
        <v>15644000</v>
      </c>
    </row>
    <row r="14" spans="1:6">
      <c r="A14" s="3" t="s">
        <v>121</v>
      </c>
      <c r="B14" s="23">
        <v>-43000</v>
      </c>
      <c r="C14" s="23">
        <v>6000</v>
      </c>
      <c r="D14" s="3" t="s">
        <v>119</v>
      </c>
      <c r="E14" s="23">
        <v>899000</v>
      </c>
      <c r="F14" s="23">
        <v>48000</v>
      </c>
    </row>
    <row r="15" spans="1:6">
      <c r="A15" s="3" t="s">
        <v>122</v>
      </c>
      <c r="B15" s="23">
        <v>14437000</v>
      </c>
      <c r="C15" s="23">
        <v>20203000</v>
      </c>
      <c r="D15" s="23">
        <v>29789000</v>
      </c>
      <c r="E15" s="23">
        <v>7173000</v>
      </c>
      <c r="F15" s="23">
        <v>15436000</v>
      </c>
    </row>
    <row r="16" spans="1:6">
      <c r="A16" s="3" t="s">
        <v>123</v>
      </c>
      <c r="B16" s="23">
        <v>76448000</v>
      </c>
      <c r="C16" s="23">
        <v>78785000</v>
      </c>
      <c r="D16" s="23">
        <v>85026000</v>
      </c>
      <c r="E16" s="23">
        <v>68626000</v>
      </c>
      <c r="F16" s="23">
        <v>77043000</v>
      </c>
    </row>
    <row r="17" spans="1:6">
      <c r="A17" s="3" t="s">
        <v>124</v>
      </c>
      <c r="B17" s="23">
        <v>13317000</v>
      </c>
      <c r="C17" s="23">
        <v>25640000</v>
      </c>
      <c r="D17" s="23">
        <v>50399000</v>
      </c>
      <c r="E17" s="23">
        <v>53697000</v>
      </c>
      <c r="F17" s="23">
        <v>44665000</v>
      </c>
    </row>
    <row r="18" spans="1:6">
      <c r="A18" s="3" t="s">
        <v>69</v>
      </c>
      <c r="B18" s="3"/>
      <c r="C18" s="3"/>
      <c r="D18" s="3"/>
      <c r="E18" s="3"/>
      <c r="F18" s="3"/>
    </row>
    <row r="19" spans="1:6">
      <c r="A19" s="3" t="s">
        <v>125</v>
      </c>
      <c r="B19" s="23">
        <v>-7352000</v>
      </c>
      <c r="C19" s="23">
        <v>-6711000</v>
      </c>
      <c r="D19" s="23">
        <v>-5772000</v>
      </c>
      <c r="E19" s="23">
        <v>-9113000</v>
      </c>
      <c r="F19" s="23">
        <v>-10224000</v>
      </c>
    </row>
    <row r="20" spans="1:6">
      <c r="A20" s="3" t="s">
        <v>126</v>
      </c>
      <c r="B20" s="23">
        <v>922000</v>
      </c>
      <c r="C20" s="23">
        <v>856000</v>
      </c>
      <c r="D20" s="23">
        <v>1020000</v>
      </c>
      <c r="E20" s="23">
        <v>2253000</v>
      </c>
      <c r="F20" s="23">
        <v>3226000</v>
      </c>
    </row>
    <row r="21" spans="1:6">
      <c r="A21" s="3" t="s">
        <v>127</v>
      </c>
      <c r="B21" s="23">
        <v>-6430000</v>
      </c>
      <c r="C21" s="23">
        <v>-5855000</v>
      </c>
      <c r="D21" s="23">
        <v>-4752000</v>
      </c>
      <c r="E21" s="23">
        <v>-6860000</v>
      </c>
      <c r="F21" s="23">
        <v>-6998000</v>
      </c>
    </row>
    <row r="22" spans="1:6">
      <c r="A22" s="3" t="s">
        <v>128</v>
      </c>
      <c r="B22" s="23">
        <v>-347000</v>
      </c>
      <c r="C22" s="23">
        <v>814000</v>
      </c>
      <c r="D22" s="23">
        <v>3128000</v>
      </c>
      <c r="E22" s="23">
        <v>2623000</v>
      </c>
      <c r="F22" s="23">
        <v>1758000</v>
      </c>
    </row>
    <row r="23" spans="1:6">
      <c r="A23" s="13" t="s">
        <v>129</v>
      </c>
      <c r="B23" s="23">
        <v>-12774000</v>
      </c>
      <c r="C23" s="23">
        <v>13414000</v>
      </c>
      <c r="D23" s="23">
        <v>-3042000</v>
      </c>
      <c r="E23" s="23">
        <v>-1801000</v>
      </c>
      <c r="F23" s="23">
        <v>1638000</v>
      </c>
    </row>
    <row r="24" spans="1:6">
      <c r="A24" s="2" t="s">
        <v>130</v>
      </c>
      <c r="B24" s="25">
        <v>1141000</v>
      </c>
      <c r="C24" s="25">
        <v>-84000</v>
      </c>
      <c r="D24" s="25">
        <v>-169000</v>
      </c>
      <c r="E24" s="25">
        <v>-146000</v>
      </c>
      <c r="F24" s="25">
        <v>-203000</v>
      </c>
    </row>
    <row r="25" spans="1:6">
      <c r="A25" s="3" t="s">
        <v>131</v>
      </c>
      <c r="B25" s="23">
        <v>-5093000</v>
      </c>
      <c r="C25" s="23">
        <v>33929000</v>
      </c>
      <c r="D25" s="23">
        <v>45564000</v>
      </c>
      <c r="E25" s="23">
        <v>47513000</v>
      </c>
      <c r="F25" s="23">
        <v>40860000</v>
      </c>
    </row>
    <row r="26" spans="1:6">
      <c r="A26" s="3" t="s">
        <v>132</v>
      </c>
      <c r="B26" s="3" t="s">
        <v>119</v>
      </c>
      <c r="C26" s="23">
        <v>-112000</v>
      </c>
      <c r="D26" s="3" t="s">
        <v>119</v>
      </c>
      <c r="E26" s="3" t="s">
        <v>119</v>
      </c>
      <c r="F26" s="3" t="s">
        <v>119</v>
      </c>
    </row>
    <row r="27" spans="1:6">
      <c r="A27" s="3" t="s">
        <v>133</v>
      </c>
      <c r="B27" s="23">
        <v>715000</v>
      </c>
      <c r="C27" s="23">
        <v>5520000</v>
      </c>
      <c r="D27" s="23">
        <v>8460000</v>
      </c>
      <c r="E27" s="23">
        <v>650000</v>
      </c>
      <c r="F27" s="23">
        <v>-480000</v>
      </c>
    </row>
    <row r="28" spans="1:6">
      <c r="A28" s="3" t="s">
        <v>134</v>
      </c>
      <c r="B28" s="23">
        <v>-112736000</v>
      </c>
      <c r="C28" s="23">
        <v>-28620000</v>
      </c>
      <c r="D28" s="23">
        <v>1443000</v>
      </c>
      <c r="E28" s="23">
        <v>-33649000</v>
      </c>
      <c r="F28" s="23">
        <v>-74886000</v>
      </c>
    </row>
    <row r="29" spans="1:6">
      <c r="A29" s="3" t="s">
        <v>135</v>
      </c>
      <c r="B29" s="23">
        <v>-1193000</v>
      </c>
      <c r="C29" s="3" t="s">
        <v>119</v>
      </c>
      <c r="D29" s="23">
        <v>74000</v>
      </c>
      <c r="E29" s="3" t="s">
        <v>119</v>
      </c>
      <c r="F29" s="3" t="s">
        <v>119</v>
      </c>
    </row>
    <row r="30" spans="1:6">
      <c r="A30" s="3" t="s">
        <v>136</v>
      </c>
      <c r="B30" s="23">
        <v>-118307000</v>
      </c>
      <c r="C30" s="23">
        <v>10717000</v>
      </c>
      <c r="D30" s="23">
        <v>55541000</v>
      </c>
      <c r="E30" s="23">
        <v>14514000</v>
      </c>
      <c r="F30" s="23">
        <v>-34506000</v>
      </c>
    </row>
    <row r="31" spans="1:6">
      <c r="A31" s="3" t="s">
        <v>69</v>
      </c>
      <c r="B31" s="3"/>
      <c r="C31" s="3"/>
      <c r="D31" s="3"/>
      <c r="E31" s="3"/>
      <c r="F31" s="3"/>
    </row>
    <row r="32" spans="1:6">
      <c r="A32" s="3" t="s">
        <v>137</v>
      </c>
      <c r="B32" s="23">
        <v>-26390000</v>
      </c>
      <c r="C32" s="23">
        <v>185000</v>
      </c>
      <c r="D32" s="23">
        <v>13869000</v>
      </c>
      <c r="E32" s="23">
        <v>5181000</v>
      </c>
      <c r="F32" s="23">
        <v>9739000</v>
      </c>
    </row>
    <row r="33" spans="1:24">
      <c r="A33" s="3" t="s">
        <v>138</v>
      </c>
      <c r="B33" s="23">
        <v>-91917000</v>
      </c>
      <c r="C33" s="23">
        <v>10532000</v>
      </c>
      <c r="D33" s="23">
        <v>41672000</v>
      </c>
      <c r="E33" s="23">
        <v>9333000</v>
      </c>
      <c r="F33" s="23">
        <v>-44245000</v>
      </c>
    </row>
    <row r="34" spans="1:24">
      <c r="A34" s="2" t="s">
        <v>139</v>
      </c>
      <c r="B34" s="23">
        <v>-91917000</v>
      </c>
      <c r="C34" s="23">
        <v>10532000</v>
      </c>
      <c r="D34" s="23">
        <v>41672000</v>
      </c>
      <c r="E34" s="23">
        <v>9333000</v>
      </c>
      <c r="F34" s="23">
        <v>-44245000</v>
      </c>
    </row>
    <row r="35" spans="1:24">
      <c r="A35" s="3" t="s">
        <v>140</v>
      </c>
      <c r="B35" s="23">
        <v>163000</v>
      </c>
      <c r="C35" s="23">
        <v>-1500000</v>
      </c>
      <c r="D35" s="23">
        <v>-2716000</v>
      </c>
      <c r="E35" s="23">
        <v>-534000</v>
      </c>
      <c r="F35" s="23">
        <v>-26000</v>
      </c>
      <c r="H35" s="1"/>
    </row>
    <row r="36" spans="1:24">
      <c r="A36" s="3" t="s">
        <v>141</v>
      </c>
      <c r="B36" s="23">
        <v>-91754000</v>
      </c>
      <c r="C36" s="23">
        <v>9032000</v>
      </c>
      <c r="D36" s="23">
        <v>38956000</v>
      </c>
      <c r="E36" s="23">
        <v>8799000</v>
      </c>
      <c r="F36" s="23">
        <v>-44271000</v>
      </c>
    </row>
    <row r="37" spans="1:24">
      <c r="A37" s="3" t="s">
        <v>142</v>
      </c>
      <c r="B37" s="23">
        <v>-91754000</v>
      </c>
      <c r="C37" s="23">
        <v>9032000</v>
      </c>
      <c r="D37" s="23">
        <v>38956000</v>
      </c>
      <c r="E37" s="23">
        <v>8799000</v>
      </c>
      <c r="F37" s="23">
        <v>-44271000</v>
      </c>
    </row>
    <row r="38" spans="1:24">
      <c r="A38" s="3" t="s">
        <v>143</v>
      </c>
      <c r="B38" s="23">
        <v>-91754000</v>
      </c>
      <c r="C38" s="23">
        <v>9032000</v>
      </c>
      <c r="D38" s="23">
        <v>38956000</v>
      </c>
      <c r="E38" s="23">
        <v>8799000</v>
      </c>
      <c r="F38" s="23">
        <v>-44271000</v>
      </c>
    </row>
    <row r="39" spans="1:24">
      <c r="A39" s="3" t="s">
        <v>144</v>
      </c>
      <c r="B39" s="3"/>
      <c r="C39" s="3"/>
      <c r="D39" s="3"/>
      <c r="E39" s="3"/>
      <c r="F39" s="3"/>
    </row>
    <row r="40" spans="1:24">
      <c r="A40" s="3" t="s">
        <v>145</v>
      </c>
      <c r="B40" s="28">
        <v>-148.49299999999999</v>
      </c>
      <c r="C40" s="28">
        <v>14.57</v>
      </c>
      <c r="D40" s="28">
        <v>62.34</v>
      </c>
      <c r="E40" s="28">
        <v>14.002000000000001</v>
      </c>
      <c r="F40" s="28">
        <v>-69.938000000000002</v>
      </c>
      <c r="S40" s="15"/>
      <c r="T40" s="16"/>
      <c r="U40" s="16"/>
      <c r="V40" s="16"/>
      <c r="W40" s="16"/>
      <c r="X40" s="17"/>
    </row>
    <row r="41" spans="1:24">
      <c r="A41" s="3" t="s">
        <v>146</v>
      </c>
      <c r="B41" s="28">
        <v>-148.49299999999999</v>
      </c>
      <c r="C41" s="28">
        <v>14.57</v>
      </c>
      <c r="D41" s="28">
        <v>62.34</v>
      </c>
      <c r="E41" s="28">
        <v>14.002000000000001</v>
      </c>
      <c r="F41" s="28">
        <v>-69.938000000000002</v>
      </c>
    </row>
    <row r="42" spans="1:24">
      <c r="A42" s="3" t="s">
        <v>147</v>
      </c>
      <c r="B42" s="23">
        <v>617900000</v>
      </c>
      <c r="C42" s="23">
        <v>619900000</v>
      </c>
      <c r="D42" s="23">
        <v>624900000</v>
      </c>
      <c r="E42" s="23">
        <v>628400000</v>
      </c>
      <c r="F42" s="23">
        <v>633000000</v>
      </c>
    </row>
    <row r="43" spans="1:24">
      <c r="A43" s="3" t="s">
        <v>148</v>
      </c>
      <c r="B43" s="28">
        <v>-148.49299999999999</v>
      </c>
      <c r="C43" s="28">
        <v>14.39</v>
      </c>
      <c r="D43" s="28">
        <v>61.36</v>
      </c>
      <c r="E43" s="28">
        <v>13.023</v>
      </c>
      <c r="F43" s="28">
        <v>-69.94</v>
      </c>
    </row>
    <row r="44" spans="1:24">
      <c r="A44" s="3" t="s">
        <v>149</v>
      </c>
      <c r="B44" s="28">
        <v>-148.49299999999999</v>
      </c>
      <c r="C44" s="28">
        <v>14.39</v>
      </c>
      <c r="D44" s="28">
        <v>61.36</v>
      </c>
      <c r="E44" s="28">
        <v>13.023</v>
      </c>
      <c r="F44" s="28">
        <v>-69.94</v>
      </c>
    </row>
    <row r="45" spans="1:24">
      <c r="A45" s="3" t="s">
        <v>150</v>
      </c>
      <c r="B45" s="23">
        <v>617900000</v>
      </c>
      <c r="C45" s="23">
        <v>627800000</v>
      </c>
      <c r="D45" s="23">
        <v>634900000</v>
      </c>
      <c r="E45" s="23">
        <v>661900000</v>
      </c>
      <c r="F45" s="23">
        <v>633000000</v>
      </c>
    </row>
    <row r="46" spans="1:24">
      <c r="A46" s="3" t="s">
        <v>151</v>
      </c>
      <c r="B46" s="28">
        <v>-4.8879999999999999</v>
      </c>
      <c r="C46" s="28">
        <v>31.788</v>
      </c>
      <c r="D46" s="28">
        <v>41.225000000000001</v>
      </c>
      <c r="E46" s="28">
        <v>46.405999999999999</v>
      </c>
      <c r="F46" s="28">
        <v>40.302999999999997</v>
      </c>
    </row>
    <row r="47" spans="1:24">
      <c r="A47" s="3" t="s">
        <v>152</v>
      </c>
      <c r="B47" s="28">
        <v>-4.8879999999999999</v>
      </c>
      <c r="C47" s="28">
        <v>31.388000000000002</v>
      </c>
      <c r="D47" s="28">
        <v>40.576000000000001</v>
      </c>
      <c r="E47" s="28">
        <v>44.057000000000002</v>
      </c>
      <c r="F47" s="28">
        <v>40.302999999999997</v>
      </c>
    </row>
    <row r="48" spans="1:24">
      <c r="A48" s="2" t="s">
        <v>153</v>
      </c>
      <c r="B48" s="2" t="s">
        <v>119</v>
      </c>
      <c r="C48" s="2" t="s">
        <v>119</v>
      </c>
      <c r="D48" s="29">
        <v>14.7</v>
      </c>
      <c r="E48" s="29">
        <v>17</v>
      </c>
      <c r="F48" s="29">
        <v>2</v>
      </c>
    </row>
    <row r="49" spans="1:21">
      <c r="A49" s="3" t="s">
        <v>154</v>
      </c>
      <c r="B49" s="3" t="s">
        <v>155</v>
      </c>
      <c r="C49" s="28">
        <v>0.50900000000000001</v>
      </c>
      <c r="D49" s="28">
        <v>0.126</v>
      </c>
      <c r="E49" s="28">
        <v>156.31299999999999</v>
      </c>
      <c r="F49" s="3" t="s">
        <v>155</v>
      </c>
    </row>
    <row r="50" spans="1:21">
      <c r="A50" s="3" t="s">
        <v>156</v>
      </c>
      <c r="B50" s="23">
        <v>1</v>
      </c>
      <c r="C50" s="23">
        <v>1</v>
      </c>
      <c r="D50" s="23">
        <v>1</v>
      </c>
      <c r="E50" s="23">
        <v>1</v>
      </c>
      <c r="F50" s="23">
        <v>1</v>
      </c>
      <c r="P50" s="15"/>
      <c r="Q50" s="16">
        <v>2020</v>
      </c>
      <c r="R50" s="16">
        <v>2021</v>
      </c>
      <c r="S50" s="16">
        <v>2022</v>
      </c>
      <c r="T50" s="16">
        <v>2023</v>
      </c>
      <c r="U50" s="17">
        <v>2024</v>
      </c>
    </row>
    <row r="51" spans="1:21">
      <c r="A51" s="3" t="s">
        <v>157</v>
      </c>
      <c r="B51" s="3"/>
      <c r="C51" s="3"/>
      <c r="D51" s="3"/>
      <c r="E51" s="3"/>
      <c r="F51" s="3"/>
      <c r="P51" t="s">
        <v>112</v>
      </c>
      <c r="Q51" s="23">
        <v>35601000</v>
      </c>
      <c r="R51" s="23">
        <v>43290000</v>
      </c>
      <c r="S51" s="23">
        <v>64472000</v>
      </c>
      <c r="T51" s="23">
        <v>68737000</v>
      </c>
      <c r="U51" s="23">
        <v>57879000</v>
      </c>
    </row>
    <row r="52" spans="1:21">
      <c r="A52" s="3" t="s">
        <v>112</v>
      </c>
      <c r="B52" s="23">
        <v>35601000</v>
      </c>
      <c r="C52" s="23">
        <v>43290000</v>
      </c>
      <c r="D52" s="23">
        <v>64472000</v>
      </c>
      <c r="E52" s="23">
        <v>68737000</v>
      </c>
      <c r="F52" s="23">
        <v>57879000</v>
      </c>
      <c r="P52" t="s">
        <v>10</v>
      </c>
      <c r="Q52" s="23">
        <v>190367000</v>
      </c>
      <c r="R52" s="23">
        <v>201910000</v>
      </c>
      <c r="S52" s="23">
        <v>272746000</v>
      </c>
      <c r="T52" s="23">
        <v>289696000</v>
      </c>
      <c r="U52" s="23">
        <v>275111000</v>
      </c>
    </row>
    <row r="53" spans="1:21">
      <c r="A53" s="3" t="s">
        <v>158</v>
      </c>
      <c r="B53" s="23">
        <v>13317000</v>
      </c>
      <c r="C53" s="23">
        <v>25640000</v>
      </c>
      <c r="D53" s="23">
        <v>50399000</v>
      </c>
      <c r="E53" s="23">
        <v>53697000</v>
      </c>
      <c r="F53" s="23">
        <v>44665000</v>
      </c>
    </row>
    <row r="54" spans="1:21">
      <c r="A54" s="3" t="s">
        <v>159</v>
      </c>
      <c r="B54" s="23">
        <v>13317000</v>
      </c>
      <c r="C54" s="23">
        <v>25640000</v>
      </c>
      <c r="D54" s="23">
        <v>50399000</v>
      </c>
      <c r="E54" s="23">
        <v>53697000</v>
      </c>
      <c r="F54" s="23">
        <v>44665000</v>
      </c>
    </row>
    <row r="55" spans="1:21">
      <c r="A55" s="3" t="s">
        <v>160</v>
      </c>
      <c r="B55" s="23">
        <v>36455000</v>
      </c>
      <c r="C55" s="23">
        <v>43836000</v>
      </c>
      <c r="D55" s="23">
        <v>65057000</v>
      </c>
      <c r="E55" s="23">
        <v>69469000</v>
      </c>
      <c r="F55" s="23">
        <v>58643000</v>
      </c>
    </row>
    <row r="56" spans="1:21">
      <c r="A56" s="3" t="s">
        <v>161</v>
      </c>
      <c r="B56" s="28">
        <v>22.306000000000001</v>
      </c>
      <c r="C56" s="28">
        <v>1.726</v>
      </c>
      <c r="D56" s="28">
        <v>24.971</v>
      </c>
      <c r="E56" s="28">
        <v>35.697000000000003</v>
      </c>
      <c r="F56" s="3" t="s">
        <v>155</v>
      </c>
    </row>
    <row r="57" spans="1:21">
      <c r="A57" s="3" t="s">
        <v>162</v>
      </c>
      <c r="B57" s="3" t="s">
        <v>119</v>
      </c>
      <c r="C57" s="23">
        <v>7430000</v>
      </c>
      <c r="D57" s="3" t="s">
        <v>119</v>
      </c>
      <c r="E57" s="23">
        <v>10271000</v>
      </c>
      <c r="F57" s="23">
        <v>8128000</v>
      </c>
    </row>
    <row r="58" spans="1:21">
      <c r="A58" s="3" t="s">
        <v>163</v>
      </c>
      <c r="B58" s="3" t="s">
        <v>119</v>
      </c>
      <c r="C58" s="23">
        <v>2079000</v>
      </c>
      <c r="D58" s="3" t="s">
        <v>119</v>
      </c>
      <c r="E58" s="23">
        <v>2654000</v>
      </c>
      <c r="F58" s="23">
        <v>2028000</v>
      </c>
    </row>
    <row r="59" spans="1:21">
      <c r="A59" s="3" t="s">
        <v>164</v>
      </c>
      <c r="B59" s="23">
        <v>930000</v>
      </c>
      <c r="C59" s="23">
        <v>9509000</v>
      </c>
      <c r="D59" s="23">
        <v>16231000</v>
      </c>
      <c r="E59" s="23">
        <v>12925000</v>
      </c>
      <c r="F59" s="23">
        <v>10156000</v>
      </c>
    </row>
    <row r="60" spans="1:21">
      <c r="A60" s="3" t="s">
        <v>165</v>
      </c>
      <c r="B60" s="23">
        <v>-9324000</v>
      </c>
      <c r="C60" s="23">
        <v>-9779000</v>
      </c>
      <c r="D60" s="23">
        <v>-2535000</v>
      </c>
      <c r="E60" s="23">
        <v>-4721000</v>
      </c>
      <c r="F60" s="23">
        <v>709000</v>
      </c>
    </row>
    <row r="61" spans="1:21">
      <c r="A61" s="3" t="s">
        <v>166</v>
      </c>
      <c r="B61" s="23">
        <v>-17996000</v>
      </c>
      <c r="C61" s="23">
        <v>455000</v>
      </c>
      <c r="D61" s="23">
        <v>173000</v>
      </c>
      <c r="E61" s="23">
        <v>-3023000</v>
      </c>
      <c r="F61" s="23">
        <v>-1126000</v>
      </c>
    </row>
    <row r="62" spans="1:21">
      <c r="A62" s="3" t="s">
        <v>167</v>
      </c>
      <c r="B62" s="23">
        <v>-27320000</v>
      </c>
      <c r="C62" s="23">
        <v>-9324000</v>
      </c>
      <c r="D62" s="23">
        <v>-2362000</v>
      </c>
      <c r="E62" s="23">
        <v>-7744000</v>
      </c>
      <c r="F62" s="23">
        <v>-417000</v>
      </c>
    </row>
    <row r="63" spans="1:21">
      <c r="A63" s="3" t="s">
        <v>168</v>
      </c>
      <c r="B63" s="23">
        <v>-3020125</v>
      </c>
      <c r="C63" s="23">
        <v>19705625</v>
      </c>
      <c r="D63" s="23">
        <v>25761500</v>
      </c>
      <c r="E63" s="23">
        <v>29161625</v>
      </c>
      <c r="F63" s="23">
        <v>25511500</v>
      </c>
    </row>
    <row r="64" spans="1:21">
      <c r="A64" s="3" t="s">
        <v>169</v>
      </c>
      <c r="B64" s="23">
        <v>1600000</v>
      </c>
      <c r="C64" s="23">
        <v>1648000</v>
      </c>
      <c r="D64" s="23">
        <v>1489000</v>
      </c>
      <c r="E64" s="23">
        <v>3336000</v>
      </c>
      <c r="F64" s="23">
        <v>3269000</v>
      </c>
    </row>
    <row r="65" spans="1:6">
      <c r="A65" s="3" t="s">
        <v>170</v>
      </c>
      <c r="B65" s="3"/>
      <c r="C65" s="3"/>
      <c r="D65" s="3"/>
      <c r="E65" s="3"/>
      <c r="F65" s="3"/>
    </row>
    <row r="66" spans="1:6">
      <c r="A66" s="3" t="s">
        <v>171</v>
      </c>
      <c r="B66" s="23">
        <v>8388000</v>
      </c>
      <c r="C66" s="23">
        <v>8026000</v>
      </c>
      <c r="D66" s="23">
        <v>8677000</v>
      </c>
      <c r="E66" s="23">
        <v>10470000</v>
      </c>
      <c r="F66" s="23">
        <v>10394000</v>
      </c>
    </row>
    <row r="67" spans="1:6">
      <c r="A67" s="3" t="s">
        <v>172</v>
      </c>
      <c r="B67" s="23">
        <v>608000</v>
      </c>
      <c r="C67" s="3" t="s">
        <v>119</v>
      </c>
      <c r="D67" s="3" t="s">
        <v>119</v>
      </c>
      <c r="E67" s="3" t="s">
        <v>119</v>
      </c>
      <c r="F67" s="3" t="s">
        <v>119</v>
      </c>
    </row>
    <row r="68" spans="1:6">
      <c r="A68" s="3" t="s">
        <v>173</v>
      </c>
      <c r="B68" s="23">
        <v>854000</v>
      </c>
      <c r="C68" s="23">
        <v>546000</v>
      </c>
      <c r="D68" s="23">
        <v>585000</v>
      </c>
      <c r="E68" s="23">
        <v>732000</v>
      </c>
      <c r="F68" s="23">
        <v>764000</v>
      </c>
    </row>
    <row r="69" spans="1:6">
      <c r="A69" s="3" t="s">
        <v>174</v>
      </c>
      <c r="B69" s="23">
        <v>429240.89600000001</v>
      </c>
      <c r="C69" s="23">
        <v>203374.07999999999</v>
      </c>
      <c r="D69" s="23">
        <v>254236.32</v>
      </c>
      <c r="E69" s="23">
        <v>455854.46399999998</v>
      </c>
      <c r="F69" s="23">
        <v>526090.4</v>
      </c>
    </row>
    <row r="70" spans="1:6">
      <c r="A70" s="3" t="s">
        <v>175</v>
      </c>
      <c r="B70" s="23">
        <v>424759.10399999999</v>
      </c>
      <c r="C70" s="23">
        <v>342625.92</v>
      </c>
      <c r="D70" s="23">
        <v>330763.68</v>
      </c>
      <c r="E70" s="23">
        <v>276145.53600000002</v>
      </c>
      <c r="F70" s="23">
        <v>237909.6</v>
      </c>
    </row>
    <row r="71" spans="1:6">
      <c r="A71" s="3" t="s">
        <v>176</v>
      </c>
      <c r="B71" s="23">
        <v>10493000</v>
      </c>
      <c r="C71" s="23">
        <v>12115000</v>
      </c>
      <c r="D71" s="23">
        <v>13322000</v>
      </c>
      <c r="E71" s="23">
        <v>15076000</v>
      </c>
      <c r="F71" s="23">
        <v>15446000</v>
      </c>
    </row>
    <row r="72" spans="1:6">
      <c r="A72" s="3" t="s">
        <v>177</v>
      </c>
      <c r="B72" s="23">
        <v>1946000</v>
      </c>
      <c r="C72" s="23">
        <v>1927000</v>
      </c>
      <c r="D72" s="23">
        <v>1164000</v>
      </c>
      <c r="E72" s="23">
        <v>1033000</v>
      </c>
      <c r="F72" s="23">
        <v>986000</v>
      </c>
    </row>
    <row r="73" spans="1:6">
      <c r="A73" s="3" t="s">
        <v>178</v>
      </c>
      <c r="B73" s="23">
        <v>1946000</v>
      </c>
      <c r="C73" s="23">
        <v>1927000</v>
      </c>
      <c r="D73" s="23">
        <v>1164000</v>
      </c>
      <c r="E73" s="23">
        <v>1033000</v>
      </c>
      <c r="F73" s="23">
        <v>986000</v>
      </c>
    </row>
    <row r="74" spans="1:6">
      <c r="A74" s="3" t="s">
        <v>179</v>
      </c>
      <c r="B74" s="3" t="s">
        <v>180</v>
      </c>
      <c r="C74" s="3" t="s">
        <v>181</v>
      </c>
      <c r="D74" s="3" t="s">
        <v>181</v>
      </c>
      <c r="E74" s="3" t="s">
        <v>181</v>
      </c>
      <c r="F74" s="3" t="s">
        <v>182</v>
      </c>
    </row>
    <row r="75" spans="1:6">
      <c r="A75" s="3" t="s">
        <v>183</v>
      </c>
      <c r="B75" s="3" t="s">
        <v>184</v>
      </c>
      <c r="C75" s="3" t="s">
        <v>184</v>
      </c>
      <c r="D75" s="3" t="s">
        <v>184</v>
      </c>
      <c r="E75" s="3" t="s">
        <v>184</v>
      </c>
      <c r="F75" s="3" t="s">
        <v>184</v>
      </c>
    </row>
    <row r="76" spans="1:6">
      <c r="A76" s="3" t="s">
        <v>185</v>
      </c>
      <c r="B76" s="3"/>
      <c r="C76" s="3"/>
      <c r="D76" s="3"/>
      <c r="E76" s="3"/>
      <c r="F76" s="3"/>
    </row>
    <row r="77" spans="1:6">
      <c r="A77" s="3" t="s">
        <v>186</v>
      </c>
      <c r="B77" s="3" t="s">
        <v>119</v>
      </c>
      <c r="C77" s="3" t="s">
        <v>119</v>
      </c>
      <c r="D77" s="3" t="s">
        <v>119</v>
      </c>
      <c r="E77" s="23">
        <v>14262197</v>
      </c>
      <c r="F77" s="23">
        <v>11923890</v>
      </c>
    </row>
    <row r="78" spans="1:6">
      <c r="A78" s="3" t="s">
        <v>187</v>
      </c>
      <c r="B78" s="3" t="s">
        <v>119</v>
      </c>
      <c r="C78" s="3" t="s">
        <v>119</v>
      </c>
      <c r="D78" s="3" t="s">
        <v>119</v>
      </c>
      <c r="E78" s="23">
        <v>3179896</v>
      </c>
      <c r="F78" s="23">
        <v>5096901</v>
      </c>
    </row>
    <row r="79" spans="1:6">
      <c r="A79" s="3" t="s">
        <v>188</v>
      </c>
      <c r="B79" s="3" t="s">
        <v>119</v>
      </c>
      <c r="C79" s="3" t="s">
        <v>119</v>
      </c>
      <c r="D79" s="3" t="s">
        <v>119</v>
      </c>
      <c r="E79" s="23">
        <v>4862497</v>
      </c>
      <c r="F79" s="23">
        <v>5269601</v>
      </c>
    </row>
    <row r="80" spans="1:6">
      <c r="A80" s="3" t="s">
        <v>189</v>
      </c>
      <c r="B80" s="3" t="s">
        <v>119</v>
      </c>
      <c r="C80" s="3" t="s">
        <v>119</v>
      </c>
      <c r="D80" s="3" t="s">
        <v>119</v>
      </c>
      <c r="E80" s="23">
        <v>655706</v>
      </c>
      <c r="F80" s="23">
        <v>757993</v>
      </c>
    </row>
    <row r="81" spans="1:6">
      <c r="A81" s="3" t="s">
        <v>190</v>
      </c>
      <c r="B81" s="3" t="s">
        <v>119</v>
      </c>
      <c r="C81" s="3" t="s">
        <v>119</v>
      </c>
      <c r="D81" s="3" t="s">
        <v>119</v>
      </c>
      <c r="E81" s="23">
        <v>11923890</v>
      </c>
      <c r="F81" s="23">
        <v>10993197</v>
      </c>
    </row>
    <row r="82" spans="1:6">
      <c r="A82" s="3" t="s">
        <v>191</v>
      </c>
      <c r="B82" s="3"/>
      <c r="C82" s="3"/>
      <c r="D82" s="3"/>
      <c r="E82" s="3"/>
      <c r="F82" s="3"/>
    </row>
    <row r="83" spans="1:6">
      <c r="A83" s="3" t="s">
        <v>192</v>
      </c>
      <c r="B83" s="3" t="s">
        <v>119</v>
      </c>
      <c r="C83" s="3" t="s">
        <v>119</v>
      </c>
      <c r="D83" s="3" t="s">
        <v>119</v>
      </c>
      <c r="E83" s="23">
        <v>14262197</v>
      </c>
      <c r="F83" s="23">
        <v>11923890</v>
      </c>
    </row>
    <row r="84" spans="1:6">
      <c r="A84" s="3" t="s">
        <v>193</v>
      </c>
      <c r="B84" s="3" t="s">
        <v>119</v>
      </c>
      <c r="C84" s="3" t="s">
        <v>119</v>
      </c>
      <c r="D84" s="3" t="s">
        <v>119</v>
      </c>
      <c r="E84" s="23">
        <v>3179896</v>
      </c>
      <c r="F84" s="23">
        <v>5096901</v>
      </c>
    </row>
    <row r="85" spans="1:6">
      <c r="A85" s="3" t="s">
        <v>194</v>
      </c>
      <c r="B85" s="3" t="s">
        <v>119</v>
      </c>
      <c r="C85" s="3" t="s">
        <v>119</v>
      </c>
      <c r="D85" s="3" t="s">
        <v>119</v>
      </c>
      <c r="E85" s="23">
        <v>4862497</v>
      </c>
      <c r="F85" s="23">
        <v>5269601</v>
      </c>
    </row>
    <row r="86" spans="1:6">
      <c r="A86" s="3" t="s">
        <v>195</v>
      </c>
      <c r="B86" s="3" t="s">
        <v>119</v>
      </c>
      <c r="C86" s="3" t="s">
        <v>119</v>
      </c>
      <c r="D86" s="3" t="s">
        <v>119</v>
      </c>
      <c r="E86" s="23">
        <v>655706</v>
      </c>
      <c r="F86" s="23">
        <v>757993</v>
      </c>
    </row>
    <row r="87" spans="1:6">
      <c r="A87" s="3" t="s">
        <v>196</v>
      </c>
      <c r="B87" s="3" t="s">
        <v>119</v>
      </c>
      <c r="C87" s="3" t="s">
        <v>119</v>
      </c>
      <c r="D87" s="3" t="s">
        <v>119</v>
      </c>
      <c r="E87" s="23">
        <v>11923890</v>
      </c>
      <c r="F87" s="23">
        <v>10993197</v>
      </c>
    </row>
    <row r="88" spans="1:6">
      <c r="A88" s="3" t="s">
        <v>197</v>
      </c>
      <c r="B88" s="3"/>
      <c r="C88" s="3"/>
      <c r="D88" s="3"/>
      <c r="E88" s="3"/>
      <c r="F88" s="3"/>
    </row>
    <row r="89" spans="1:6">
      <c r="A89" s="3" t="s">
        <v>198</v>
      </c>
      <c r="B89" s="23">
        <v>1946000</v>
      </c>
      <c r="C89" s="23">
        <v>1927000</v>
      </c>
      <c r="D89" s="23">
        <v>1164000</v>
      </c>
      <c r="E89" s="23">
        <v>1033000</v>
      </c>
      <c r="F89" s="23">
        <v>986000</v>
      </c>
    </row>
    <row r="90" spans="1:6">
      <c r="A90" s="3" t="s">
        <v>199</v>
      </c>
      <c r="B90" s="3"/>
      <c r="C90" s="3"/>
      <c r="D90" s="3"/>
      <c r="E90" s="3"/>
      <c r="F90" s="3"/>
    </row>
    <row r="91" spans="1:6">
      <c r="A91" s="3" t="s">
        <v>200</v>
      </c>
      <c r="B91" s="23">
        <v>3520000</v>
      </c>
      <c r="C91" s="23">
        <v>880000</v>
      </c>
      <c r="D91" s="23">
        <v>740000</v>
      </c>
      <c r="E91" s="23">
        <v>1074000</v>
      </c>
      <c r="F91" s="23">
        <v>1644000</v>
      </c>
    </row>
  </sheetData>
  <sortState xmlns:xlrd2="http://schemas.microsoft.com/office/spreadsheetml/2017/richdata2" columnSort="1" ref="B4:F48">
    <sortCondition ref="B4:F4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F25" sqref="F25"/>
    </sheetView>
  </sheetViews>
  <sheetFormatPr baseColWidth="10" defaultColWidth="8.83203125" defaultRowHeight="15"/>
  <cols>
    <col min="1" max="1" width="75" bestFit="1" customWidth="1"/>
    <col min="2" max="6" width="12.6640625" bestFit="1" customWidth="1"/>
  </cols>
  <sheetData>
    <row r="1" spans="1:6">
      <c r="A1" s="32" t="s">
        <v>115</v>
      </c>
    </row>
    <row r="2" spans="1:6">
      <c r="A2" s="32" t="s">
        <v>201</v>
      </c>
    </row>
    <row r="4" spans="1:6">
      <c r="A4" s="7" t="s">
        <v>16</v>
      </c>
      <c r="B4" s="9" t="s">
        <v>113</v>
      </c>
      <c r="C4" s="9" t="s">
        <v>113</v>
      </c>
      <c r="D4" s="9" t="s">
        <v>113</v>
      </c>
      <c r="E4" s="33" t="s">
        <v>113</v>
      </c>
      <c r="F4" s="33" t="s">
        <v>113</v>
      </c>
    </row>
    <row r="5" spans="1:6">
      <c r="A5" s="7"/>
      <c r="B5" s="9" t="s">
        <v>210</v>
      </c>
      <c r="C5" s="9" t="s">
        <v>211</v>
      </c>
      <c r="D5" s="9" t="s">
        <v>212</v>
      </c>
      <c r="E5" s="9" t="s">
        <v>213</v>
      </c>
      <c r="F5" s="9" t="s">
        <v>214</v>
      </c>
    </row>
    <row r="6" spans="1:6">
      <c r="A6" s="1" t="s">
        <v>209</v>
      </c>
      <c r="B6" s="3">
        <v>-91917</v>
      </c>
      <c r="C6" s="3">
        <v>10532</v>
      </c>
      <c r="D6" s="3">
        <v>41672</v>
      </c>
      <c r="E6" s="13">
        <v>15453</v>
      </c>
      <c r="F6" s="3">
        <v>15099</v>
      </c>
    </row>
    <row r="7" spans="1:6">
      <c r="A7" s="5"/>
    </row>
    <row r="8" spans="1:6">
      <c r="A8" s="34" t="s">
        <v>202</v>
      </c>
    </row>
    <row r="9" spans="1:6">
      <c r="A9" s="5" t="s">
        <v>208</v>
      </c>
      <c r="B9" s="3">
        <v>-205</v>
      </c>
      <c r="C9" s="3">
        <v>623</v>
      </c>
      <c r="D9" s="3">
        <v>1616</v>
      </c>
      <c r="E9" s="3">
        <v>117</v>
      </c>
      <c r="F9" s="3">
        <v>-76</v>
      </c>
    </row>
    <row r="10" spans="1:6">
      <c r="A10" s="5" t="s">
        <v>203</v>
      </c>
      <c r="B10">
        <v>-147</v>
      </c>
      <c r="C10">
        <v>834</v>
      </c>
      <c r="D10">
        <v>2415</v>
      </c>
      <c r="E10">
        <v>161</v>
      </c>
      <c r="F10">
        <v>-106</v>
      </c>
    </row>
    <row r="11" spans="1:6">
      <c r="A11" s="5" t="s">
        <v>204</v>
      </c>
      <c r="B11" s="5">
        <v>54</v>
      </c>
      <c r="C11">
        <v>-119</v>
      </c>
      <c r="D11">
        <v>-745</v>
      </c>
      <c r="E11">
        <v>-44</v>
      </c>
      <c r="F11">
        <v>30</v>
      </c>
    </row>
    <row r="12" spans="1:6">
      <c r="A12" s="35" t="s">
        <v>220</v>
      </c>
      <c r="B12" s="5">
        <v>-112</v>
      </c>
      <c r="C12">
        <v>-12</v>
      </c>
      <c r="D12">
        <v>-54</v>
      </c>
    </row>
    <row r="13" spans="1:6">
      <c r="A13" s="5"/>
    </row>
    <row r="14" spans="1:6">
      <c r="A14" s="5" t="s">
        <v>215</v>
      </c>
      <c r="B14" s="3">
        <v>24123</v>
      </c>
      <c r="C14" s="3">
        <v>-16246</v>
      </c>
      <c r="D14" s="3">
        <v>-92</v>
      </c>
      <c r="E14" s="13" t="s">
        <v>114</v>
      </c>
      <c r="F14" s="13" t="s">
        <v>114</v>
      </c>
    </row>
    <row r="15" spans="1:6">
      <c r="A15" s="35" t="s">
        <v>216</v>
      </c>
      <c r="B15">
        <v>26720</v>
      </c>
      <c r="C15">
        <v>-13741</v>
      </c>
      <c r="D15">
        <v>7026</v>
      </c>
      <c r="E15" s="5" t="s">
        <v>114</v>
      </c>
      <c r="F15" s="5" t="s">
        <v>114</v>
      </c>
    </row>
    <row r="16" spans="1:6">
      <c r="A16" s="35" t="s">
        <v>217</v>
      </c>
      <c r="B16">
        <v>-2192</v>
      </c>
      <c r="C16">
        <v>1072</v>
      </c>
      <c r="D16">
        <v>1110</v>
      </c>
      <c r="E16" s="5" t="s">
        <v>114</v>
      </c>
      <c r="F16" s="5" t="s">
        <v>114</v>
      </c>
    </row>
    <row r="17" spans="1:6">
      <c r="A17" s="35" t="s">
        <v>218</v>
      </c>
      <c r="B17">
        <v>-801</v>
      </c>
      <c r="C17">
        <v>-3388</v>
      </c>
      <c r="D17">
        <v>-8024</v>
      </c>
      <c r="E17" s="5" t="s">
        <v>114</v>
      </c>
      <c r="F17" s="5" t="s">
        <v>114</v>
      </c>
    </row>
    <row r="18" spans="1:6">
      <c r="A18" s="35" t="s">
        <v>219</v>
      </c>
      <c r="B18">
        <v>396</v>
      </c>
      <c r="C18">
        <v>-189</v>
      </c>
      <c r="D18">
        <v>-204</v>
      </c>
      <c r="E18" s="5" t="s">
        <v>114</v>
      </c>
      <c r="F18" s="5" t="s">
        <v>114</v>
      </c>
    </row>
    <row r="19" spans="1:6">
      <c r="A19" s="5"/>
    </row>
    <row r="21" spans="1:6">
      <c r="A21" s="1" t="s">
        <v>205</v>
      </c>
      <c r="B21" s="3">
        <v>-67999</v>
      </c>
      <c r="C21" s="3">
        <v>-5091</v>
      </c>
      <c r="D21" s="3">
        <v>43196</v>
      </c>
      <c r="E21" s="3">
        <v>15570</v>
      </c>
      <c r="F21" s="3">
        <v>15023</v>
      </c>
    </row>
    <row r="22" spans="1:6">
      <c r="A22" s="5" t="s">
        <v>206</v>
      </c>
    </row>
    <row r="23" spans="1:6">
      <c r="A23" s="5" t="s">
        <v>207</v>
      </c>
      <c r="B23">
        <v>-67865</v>
      </c>
      <c r="C23">
        <v>-6578</v>
      </c>
      <c r="D23">
        <v>40485</v>
      </c>
      <c r="E23" s="5" t="s">
        <v>114</v>
      </c>
      <c r="F23" s="5" t="s">
        <v>114</v>
      </c>
    </row>
    <row r="24" spans="1:6">
      <c r="A24" s="5" t="s">
        <v>221</v>
      </c>
      <c r="B24">
        <v>-134</v>
      </c>
      <c r="C24">
        <v>1487</v>
      </c>
      <c r="D24">
        <v>2711</v>
      </c>
      <c r="E24" s="5" t="s">
        <v>114</v>
      </c>
      <c r="F24" s="5" t="s">
        <v>114</v>
      </c>
    </row>
    <row r="25" spans="1:6">
      <c r="B25" s="3">
        <v>-67999</v>
      </c>
      <c r="C25" s="3">
        <v>-5091</v>
      </c>
      <c r="D25" s="3">
        <v>43196</v>
      </c>
      <c r="E25" s="3">
        <v>15570</v>
      </c>
      <c r="F25" s="3">
        <v>15023</v>
      </c>
    </row>
  </sheetData>
  <sortState xmlns:xlrd2="http://schemas.microsoft.com/office/spreadsheetml/2017/richdata2" columnSort="1" ref="B5:F31">
    <sortCondition ref="B5:F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6"/>
  <sheetViews>
    <sheetView workbookViewId="0">
      <selection activeCell="F57" sqref="F57"/>
    </sheetView>
  </sheetViews>
  <sheetFormatPr baseColWidth="10" defaultColWidth="8.83203125" defaultRowHeight="15"/>
  <cols>
    <col min="1" max="1" width="65.83203125" bestFit="1" customWidth="1"/>
    <col min="2" max="6" width="12.6640625" bestFit="1" customWidth="1"/>
    <col min="9" max="9" width="12.1640625" bestFit="1" customWidth="1"/>
    <col min="10" max="11" width="11.83203125" bestFit="1" customWidth="1"/>
    <col min="12" max="12" width="17.5" bestFit="1" customWidth="1"/>
    <col min="13" max="13" width="31.83203125" bestFit="1" customWidth="1"/>
    <col min="14" max="14" width="11.1640625" bestFit="1" customWidth="1"/>
    <col min="15" max="15" width="12.1640625" bestFit="1" customWidth="1"/>
    <col min="16" max="16" width="11.1640625" bestFit="1" customWidth="1"/>
    <col min="17" max="17" width="12.1640625" bestFit="1" customWidth="1"/>
    <col min="18" max="18" width="11.1640625" bestFit="1" customWidth="1"/>
  </cols>
  <sheetData>
    <row r="1" spans="1:6">
      <c r="A1" s="32" t="s">
        <v>115</v>
      </c>
    </row>
    <row r="2" spans="1:6">
      <c r="A2" s="32" t="s">
        <v>222</v>
      </c>
    </row>
    <row r="4" spans="1:6">
      <c r="A4" s="7" t="s">
        <v>0</v>
      </c>
      <c r="B4" s="9" t="s">
        <v>113</v>
      </c>
      <c r="C4" s="9" t="s">
        <v>113</v>
      </c>
      <c r="D4" s="9" t="s">
        <v>113</v>
      </c>
      <c r="E4" s="9" t="s">
        <v>113</v>
      </c>
      <c r="F4" s="9" t="s">
        <v>113</v>
      </c>
    </row>
    <row r="5" spans="1:6">
      <c r="A5" s="7"/>
      <c r="B5" s="8">
        <v>2020</v>
      </c>
      <c r="C5" s="8">
        <v>2021</v>
      </c>
      <c r="D5" s="8">
        <v>2022</v>
      </c>
      <c r="E5" s="8">
        <v>2023</v>
      </c>
      <c r="F5" s="8">
        <v>2024</v>
      </c>
    </row>
    <row r="6" spans="1:6">
      <c r="A6" s="1" t="s">
        <v>223</v>
      </c>
    </row>
    <row r="7" spans="1:6">
      <c r="A7" t="s">
        <v>224</v>
      </c>
      <c r="B7" s="31">
        <v>34739000</v>
      </c>
      <c r="C7" s="31">
        <v>31231000</v>
      </c>
      <c r="D7" s="31">
        <v>43140000</v>
      </c>
      <c r="E7" s="31">
        <v>53926000</v>
      </c>
      <c r="F7" s="31">
        <v>45383000</v>
      </c>
    </row>
    <row r="8" spans="1:6">
      <c r="A8" t="s">
        <v>225</v>
      </c>
      <c r="B8" t="s">
        <v>119</v>
      </c>
      <c r="C8" t="s">
        <v>119</v>
      </c>
      <c r="D8" t="s">
        <v>119</v>
      </c>
      <c r="E8" s="31">
        <v>1237000</v>
      </c>
      <c r="F8" s="31">
        <v>2173000</v>
      </c>
    </row>
    <row r="9" spans="1:6">
      <c r="A9" t="s">
        <v>226</v>
      </c>
      <c r="B9" s="31">
        <v>34739000</v>
      </c>
      <c r="C9" s="31">
        <v>31231000</v>
      </c>
      <c r="D9" s="31">
        <v>43140000</v>
      </c>
      <c r="E9" s="31">
        <v>55163000</v>
      </c>
      <c r="F9" s="31">
        <v>47556000</v>
      </c>
    </row>
    <row r="10" spans="1:6">
      <c r="A10" t="s">
        <v>227</v>
      </c>
      <c r="B10" s="31">
        <v>17907000</v>
      </c>
      <c r="C10" s="31">
        <v>23440000</v>
      </c>
      <c r="D10" s="31">
        <v>32316000</v>
      </c>
      <c r="E10" s="31">
        <v>26544000</v>
      </c>
      <c r="F10" s="31">
        <v>27443000</v>
      </c>
    </row>
    <row r="11" spans="1:6">
      <c r="A11" t="s">
        <v>228</v>
      </c>
      <c r="B11" s="31">
        <v>11004000</v>
      </c>
      <c r="C11" s="31">
        <v>6746000</v>
      </c>
      <c r="D11" s="31">
        <v>12972000</v>
      </c>
      <c r="E11" s="31">
        <v>7265000</v>
      </c>
      <c r="F11" s="31">
        <v>7993000</v>
      </c>
    </row>
    <row r="12" spans="1:6">
      <c r="A12" t="s">
        <v>229</v>
      </c>
      <c r="B12" s="31">
        <v>28911000</v>
      </c>
      <c r="C12" s="31">
        <v>30186000</v>
      </c>
      <c r="D12" s="31">
        <v>45288000</v>
      </c>
      <c r="E12" s="31">
        <v>33809000</v>
      </c>
      <c r="F12" s="31">
        <v>35436000</v>
      </c>
    </row>
    <row r="13" spans="1:6">
      <c r="A13" t="s">
        <v>3</v>
      </c>
      <c r="B13" s="31">
        <v>27801000</v>
      </c>
      <c r="C13" s="31">
        <v>29742000</v>
      </c>
      <c r="D13" s="31">
        <v>41110000</v>
      </c>
      <c r="E13" s="31">
        <v>42205000</v>
      </c>
      <c r="F13" s="31">
        <v>40719000</v>
      </c>
    </row>
    <row r="14" spans="1:6">
      <c r="A14" t="s">
        <v>230</v>
      </c>
      <c r="B14" s="31">
        <v>1605000</v>
      </c>
      <c r="C14" s="31">
        <v>1860000</v>
      </c>
      <c r="D14" s="31">
        <v>2115000</v>
      </c>
      <c r="E14" s="31">
        <v>2507000</v>
      </c>
      <c r="F14" s="31">
        <v>1553000</v>
      </c>
    </row>
    <row r="15" spans="1:6">
      <c r="A15" t="s">
        <v>231</v>
      </c>
      <c r="B15" s="31">
        <v>84913000</v>
      </c>
      <c r="C15" s="31">
        <v>12145000</v>
      </c>
      <c r="D15" s="31">
        <v>603000</v>
      </c>
      <c r="E15" s="31">
        <v>845000</v>
      </c>
      <c r="F15" s="31">
        <v>1457000</v>
      </c>
    </row>
    <row r="16" spans="1:6">
      <c r="A16" t="s">
        <v>232</v>
      </c>
      <c r="B16" s="31">
        <v>177969000</v>
      </c>
      <c r="C16" s="31">
        <v>105164000</v>
      </c>
      <c r="D16" s="31">
        <v>132256000</v>
      </c>
      <c r="E16" s="31">
        <v>134529000</v>
      </c>
      <c r="F16" s="31">
        <v>126721000</v>
      </c>
    </row>
    <row r="17" spans="1:6">
      <c r="A17" t="s">
        <v>233</v>
      </c>
      <c r="B17" s="31">
        <v>481833000</v>
      </c>
      <c r="C17" s="31">
        <v>451484000</v>
      </c>
      <c r="D17" s="31">
        <v>482019000</v>
      </c>
      <c r="E17" s="31">
        <v>530341000</v>
      </c>
      <c r="F17" s="31">
        <v>541529000</v>
      </c>
    </row>
    <row r="18" spans="1:6">
      <c r="A18" t="s">
        <v>234</v>
      </c>
      <c r="B18" s="31">
        <v>-240372000</v>
      </c>
      <c r="C18" s="31">
        <v>-240560000</v>
      </c>
      <c r="D18" s="31">
        <v>-248082000</v>
      </c>
      <c r="E18" s="31">
        <v>-293184000</v>
      </c>
      <c r="F18" s="31">
        <v>-365589000</v>
      </c>
    </row>
    <row r="19" spans="1:6">
      <c r="A19" s="1" t="s">
        <v>235</v>
      </c>
      <c r="B19" s="31">
        <v>241461000</v>
      </c>
      <c r="C19" s="31">
        <v>210924000</v>
      </c>
      <c r="D19" s="31">
        <v>233937000</v>
      </c>
      <c r="E19" s="31">
        <v>237157000</v>
      </c>
      <c r="F19" s="31">
        <v>175940000</v>
      </c>
    </row>
    <row r="20" spans="1:6">
      <c r="A20" t="s">
        <v>236</v>
      </c>
      <c r="B20" s="31">
        <v>15107000</v>
      </c>
      <c r="C20" s="31">
        <v>12795000</v>
      </c>
      <c r="D20" s="31">
        <v>15131000</v>
      </c>
      <c r="E20" s="31">
        <v>16968000</v>
      </c>
      <c r="F20" s="31">
        <v>17278000</v>
      </c>
    </row>
    <row r="21" spans="1:6">
      <c r="A21" t="s">
        <v>237</v>
      </c>
      <c r="B21" s="31">
        <v>2800000</v>
      </c>
      <c r="C21" s="31">
        <v>2482000</v>
      </c>
      <c r="D21" s="31">
        <v>3051000</v>
      </c>
      <c r="E21" s="31">
        <v>3191000</v>
      </c>
      <c r="F21" s="31">
        <v>2462000</v>
      </c>
    </row>
    <row r="22" spans="1:6">
      <c r="A22" t="s">
        <v>238</v>
      </c>
      <c r="B22" s="31">
        <v>4430000</v>
      </c>
      <c r="C22" s="31">
        <v>3122000</v>
      </c>
      <c r="D22" s="31">
        <v>2600000</v>
      </c>
      <c r="E22" s="31">
        <v>2803000</v>
      </c>
      <c r="F22" s="31">
        <v>3051000</v>
      </c>
    </row>
    <row r="23" spans="1:6">
      <c r="A23" s="5" t="s">
        <v>239</v>
      </c>
      <c r="B23" s="31">
        <v>31665000</v>
      </c>
      <c r="C23" s="31">
        <v>24511000</v>
      </c>
      <c r="D23" s="31">
        <v>31198000</v>
      </c>
      <c r="E23" s="31">
        <v>37716000</v>
      </c>
      <c r="F23" s="31">
        <v>37193000</v>
      </c>
    </row>
    <row r="24" spans="1:6">
      <c r="A24" t="s">
        <v>240</v>
      </c>
      <c r="B24" s="31">
        <v>1103000</v>
      </c>
      <c r="C24" s="31">
        <v>1745000</v>
      </c>
      <c r="D24" s="31">
        <v>1375000</v>
      </c>
      <c r="E24" s="31">
        <v>1474000</v>
      </c>
      <c r="F24" s="31">
        <v>2335000</v>
      </c>
    </row>
    <row r="25" spans="1:6">
      <c r="A25" t="s">
        <v>92</v>
      </c>
      <c r="B25" s="31">
        <v>474535000</v>
      </c>
      <c r="C25" s="31">
        <v>360743000</v>
      </c>
      <c r="D25" s="31">
        <v>419548000</v>
      </c>
      <c r="E25" s="31">
        <v>433838000</v>
      </c>
      <c r="F25" s="31">
        <v>364980000</v>
      </c>
    </row>
    <row r="26" spans="1:6">
      <c r="A26" s="1" t="s">
        <v>241</v>
      </c>
    </row>
    <row r="27" spans="1:6">
      <c r="A27" t="s">
        <v>242</v>
      </c>
      <c r="B27" s="31">
        <v>13535000</v>
      </c>
      <c r="C27" s="31">
        <v>17197000</v>
      </c>
      <c r="D27" s="31">
        <v>26888000</v>
      </c>
      <c r="E27" s="31">
        <v>26311000</v>
      </c>
      <c r="F27" s="31">
        <v>24972000</v>
      </c>
    </row>
    <row r="28" spans="1:6">
      <c r="A28" t="s">
        <v>243</v>
      </c>
      <c r="B28" s="31">
        <v>11747000</v>
      </c>
      <c r="C28" s="31">
        <v>9779000</v>
      </c>
      <c r="D28" s="31">
        <v>10005000</v>
      </c>
      <c r="E28" s="31">
        <v>9597000</v>
      </c>
      <c r="F28" s="31">
        <v>8752000</v>
      </c>
    </row>
    <row r="29" spans="1:6">
      <c r="A29" t="s">
        <v>244</v>
      </c>
      <c r="B29" s="31">
        <v>22533000</v>
      </c>
      <c r="C29" s="31">
        <v>303000</v>
      </c>
      <c r="D29" s="31">
        <v>255000</v>
      </c>
      <c r="E29" s="31">
        <v>238000</v>
      </c>
      <c r="F29" s="31">
        <v>687000</v>
      </c>
    </row>
    <row r="30" spans="1:6">
      <c r="A30" t="s">
        <v>245</v>
      </c>
      <c r="B30" s="31">
        <v>19686000</v>
      </c>
      <c r="C30" s="31">
        <v>5506000</v>
      </c>
      <c r="D30" s="31">
        <v>22334000</v>
      </c>
      <c r="E30" s="31">
        <v>41749000</v>
      </c>
      <c r="F30" s="31">
        <v>1118000</v>
      </c>
    </row>
    <row r="31" spans="1:6">
      <c r="A31" t="s">
        <v>246</v>
      </c>
      <c r="B31" s="31">
        <v>1894000</v>
      </c>
      <c r="C31" s="31">
        <v>1771000</v>
      </c>
      <c r="D31" s="31">
        <v>1768000</v>
      </c>
      <c r="E31" s="31">
        <v>1915000</v>
      </c>
      <c r="F31" s="31">
        <v>2264000</v>
      </c>
    </row>
    <row r="32" spans="1:6">
      <c r="A32" t="s">
        <v>247</v>
      </c>
      <c r="B32" s="31">
        <v>665000</v>
      </c>
      <c r="C32" s="31">
        <v>806000</v>
      </c>
      <c r="D32" s="31">
        <v>3142000</v>
      </c>
      <c r="E32" s="31">
        <v>1876000</v>
      </c>
      <c r="F32" s="31">
        <v>1108000</v>
      </c>
    </row>
    <row r="33" spans="1:6">
      <c r="A33" s="5" t="s">
        <v>248</v>
      </c>
      <c r="B33" s="31">
        <v>579000</v>
      </c>
      <c r="C33" s="31">
        <v>576000</v>
      </c>
      <c r="D33" s="31">
        <v>724000</v>
      </c>
      <c r="E33" s="31">
        <v>966000</v>
      </c>
      <c r="F33" s="31">
        <v>320000</v>
      </c>
    </row>
    <row r="34" spans="1:6">
      <c r="A34" t="s">
        <v>249</v>
      </c>
      <c r="B34" s="31">
        <v>22479000</v>
      </c>
      <c r="C34" s="31">
        <v>21626000</v>
      </c>
      <c r="D34" s="31">
        <v>26659000</v>
      </c>
      <c r="E34" s="31">
        <v>19395000</v>
      </c>
      <c r="F34" s="31">
        <v>15274000</v>
      </c>
    </row>
    <row r="35" spans="1:6">
      <c r="A35" s="5" t="s">
        <v>250</v>
      </c>
      <c r="B35" s="31">
        <v>93118000</v>
      </c>
      <c r="C35" s="31">
        <v>57564000</v>
      </c>
      <c r="D35" s="31">
        <v>91775000</v>
      </c>
      <c r="E35" s="31">
        <v>102047000</v>
      </c>
      <c r="F35" s="31">
        <v>54495000</v>
      </c>
    </row>
    <row r="36" spans="1:6">
      <c r="A36" t="s">
        <v>251</v>
      </c>
      <c r="B36" s="31">
        <v>147511000</v>
      </c>
      <c r="C36" s="31">
        <v>97137000</v>
      </c>
      <c r="D36" s="31">
        <v>82500000</v>
      </c>
      <c r="E36" s="31">
        <v>82319000</v>
      </c>
      <c r="F36" s="31">
        <v>115913000</v>
      </c>
    </row>
    <row r="37" spans="1:6">
      <c r="A37" t="s">
        <v>252</v>
      </c>
      <c r="B37" s="31">
        <v>15825000</v>
      </c>
      <c r="C37" s="31">
        <v>13906000</v>
      </c>
      <c r="D37" s="31">
        <v>14266000</v>
      </c>
      <c r="E37" s="31">
        <v>14382000</v>
      </c>
      <c r="F37" s="31">
        <v>15173000</v>
      </c>
    </row>
    <row r="38" spans="1:6">
      <c r="A38" t="s">
        <v>253</v>
      </c>
      <c r="B38" s="31">
        <v>842000</v>
      </c>
      <c r="C38" s="31">
        <v>400000</v>
      </c>
      <c r="D38" s="31">
        <v>372000</v>
      </c>
      <c r="E38" s="31">
        <v>465000</v>
      </c>
      <c r="F38" s="31">
        <v>446000</v>
      </c>
    </row>
    <row r="39" spans="1:6">
      <c r="A39" t="s">
        <v>254</v>
      </c>
      <c r="B39" s="31">
        <v>14691000</v>
      </c>
      <c r="C39" s="31">
        <v>13297000</v>
      </c>
      <c r="D39" s="31">
        <v>10063000</v>
      </c>
      <c r="E39" s="31">
        <v>11343000</v>
      </c>
      <c r="F39" s="31">
        <v>11356000</v>
      </c>
    </row>
    <row r="40" spans="1:6">
      <c r="A40" t="s">
        <v>255</v>
      </c>
      <c r="B40" s="31">
        <v>19154000</v>
      </c>
      <c r="C40" s="31">
        <v>7793000</v>
      </c>
      <c r="D40" s="31">
        <v>10549000</v>
      </c>
      <c r="E40" s="31">
        <v>5294000</v>
      </c>
      <c r="F40" s="31">
        <v>5205000</v>
      </c>
    </row>
    <row r="41" spans="1:6">
      <c r="A41" t="s">
        <v>6</v>
      </c>
      <c r="B41" s="31">
        <v>27477000</v>
      </c>
      <c r="C41" s="31">
        <v>18175000</v>
      </c>
      <c r="D41" s="31">
        <v>16826000</v>
      </c>
      <c r="E41" s="31">
        <v>16464000</v>
      </c>
      <c r="F41" s="31">
        <v>14965000</v>
      </c>
    </row>
    <row r="42" spans="1:6">
      <c r="A42" t="s">
        <v>7</v>
      </c>
      <c r="B42" s="31">
        <v>318618000</v>
      </c>
      <c r="C42" s="31">
        <v>208272000</v>
      </c>
      <c r="D42" s="31">
        <v>226351000</v>
      </c>
      <c r="E42" s="31">
        <v>232314000</v>
      </c>
      <c r="F42" s="31">
        <v>217553000</v>
      </c>
    </row>
    <row r="43" spans="1:6">
      <c r="A43" s="1" t="s">
        <v>256</v>
      </c>
    </row>
    <row r="44" spans="1:6">
      <c r="A44" t="s">
        <v>257</v>
      </c>
      <c r="B44" s="31">
        <v>9888000</v>
      </c>
      <c r="C44" s="31">
        <v>9888000</v>
      </c>
      <c r="D44" s="31">
        <v>9888000</v>
      </c>
      <c r="E44" s="31">
        <v>9888000</v>
      </c>
      <c r="F44" s="31">
        <v>9888000</v>
      </c>
    </row>
    <row r="45" spans="1:6">
      <c r="A45" t="s">
        <v>258</v>
      </c>
      <c r="B45" s="31">
        <v>87559000</v>
      </c>
      <c r="C45" s="31">
        <v>99516000</v>
      </c>
      <c r="D45" s="31">
        <v>139251000</v>
      </c>
      <c r="E45" s="31">
        <v>135706000</v>
      </c>
      <c r="F45" s="31">
        <v>84537000</v>
      </c>
    </row>
    <row r="46" spans="1:6">
      <c r="A46" t="s">
        <v>259</v>
      </c>
      <c r="B46" s="31">
        <v>53529000</v>
      </c>
      <c r="C46" s="31">
        <v>37085000</v>
      </c>
      <c r="D46" s="31">
        <v>39484000</v>
      </c>
      <c r="E46" s="31">
        <v>51310000</v>
      </c>
      <c r="F46" s="31">
        <v>48580000</v>
      </c>
    </row>
    <row r="47" spans="1:6">
      <c r="A47" t="s">
        <v>260</v>
      </c>
      <c r="B47" s="31">
        <v>150976000</v>
      </c>
      <c r="C47" s="31">
        <v>146489000</v>
      </c>
      <c r="D47" s="31">
        <v>188623000</v>
      </c>
      <c r="E47" s="31">
        <v>196904000</v>
      </c>
      <c r="F47" s="31">
        <v>143005000</v>
      </c>
    </row>
    <row r="48" spans="1:6">
      <c r="A48" t="s">
        <v>261</v>
      </c>
      <c r="B48" s="31">
        <v>4941000</v>
      </c>
      <c r="C48" s="31">
        <v>5982000</v>
      </c>
      <c r="D48" s="31">
        <v>4574000</v>
      </c>
      <c r="E48" s="31">
        <v>4620000</v>
      </c>
      <c r="F48" s="31">
        <v>4422000</v>
      </c>
    </row>
    <row r="49" spans="1:13">
      <c r="A49" t="s">
        <v>5</v>
      </c>
      <c r="B49" s="31">
        <v>155917000</v>
      </c>
      <c r="C49" s="31">
        <v>152471000</v>
      </c>
      <c r="D49" s="31">
        <v>193197000</v>
      </c>
      <c r="E49" s="31">
        <v>201524000</v>
      </c>
      <c r="F49" s="31">
        <v>147427000</v>
      </c>
    </row>
    <row r="50" spans="1:13">
      <c r="A50" s="5" t="s">
        <v>262</v>
      </c>
      <c r="B50" s="31">
        <v>474535000</v>
      </c>
      <c r="C50" s="31">
        <v>360743000</v>
      </c>
      <c r="D50" s="31">
        <v>419548000</v>
      </c>
      <c r="E50" s="31">
        <v>433838000</v>
      </c>
      <c r="F50" s="31">
        <v>364980000</v>
      </c>
    </row>
    <row r="51" spans="1:13">
      <c r="A51" s="1" t="s">
        <v>263</v>
      </c>
    </row>
    <row r="52" spans="1:13">
      <c r="A52" s="5" t="s">
        <v>264</v>
      </c>
      <c r="B52" s="31">
        <v>627887189</v>
      </c>
      <c r="C52" s="31">
        <v>629765768</v>
      </c>
      <c r="D52" s="31">
        <v>631203721</v>
      </c>
      <c r="E52" s="31">
        <v>630293924</v>
      </c>
      <c r="F52" s="31">
        <v>635419278</v>
      </c>
    </row>
    <row r="53" spans="1:13">
      <c r="A53" t="s">
        <v>265</v>
      </c>
      <c r="B53" s="31">
        <v>627887189</v>
      </c>
      <c r="C53" s="31">
        <v>629765768</v>
      </c>
      <c r="D53" s="31">
        <v>631203721</v>
      </c>
      <c r="E53" s="31">
        <v>630293924</v>
      </c>
      <c r="F53" s="31">
        <v>635419278</v>
      </c>
      <c r="H53" s="5" t="s">
        <v>348</v>
      </c>
      <c r="I53">
        <f>132.2*B53</f>
        <v>83006686385.799988</v>
      </c>
      <c r="J53">
        <f>(218.01)*C53</f>
        <v>137295235081.67999</v>
      </c>
      <c r="K53">
        <f>371.68 * D53</f>
        <v>234605799021.28</v>
      </c>
      <c r="L53" s="39">
        <f>233.26 * E53</f>
        <v>147022360712.23999</v>
      </c>
      <c r="M53">
        <f>138 * F53</f>
        <v>87687860364</v>
      </c>
    </row>
    <row r="54" spans="1:13">
      <c r="A54" t="s">
        <v>266</v>
      </c>
      <c r="B54" s="30">
        <v>240.45099999999999</v>
      </c>
      <c r="C54" s="30">
        <v>232.60900000000001</v>
      </c>
      <c r="D54" s="30">
        <v>298.83100000000002</v>
      </c>
      <c r="E54" s="30">
        <v>312.39999999999998</v>
      </c>
      <c r="F54" s="30">
        <v>225.05600000000001</v>
      </c>
    </row>
    <row r="55" spans="1:13">
      <c r="A55" t="s">
        <v>267</v>
      </c>
      <c r="B55" s="31">
        <v>148176000</v>
      </c>
      <c r="C55" s="31">
        <v>144007000</v>
      </c>
      <c r="D55" s="31">
        <v>185572000</v>
      </c>
      <c r="E55" s="31">
        <v>193713000</v>
      </c>
      <c r="F55" s="31">
        <v>140543000</v>
      </c>
    </row>
    <row r="56" spans="1:13">
      <c r="A56" t="s">
        <v>268</v>
      </c>
      <c r="B56" s="30">
        <v>235.99100000000001</v>
      </c>
      <c r="C56" s="30">
        <v>228.66800000000001</v>
      </c>
      <c r="D56" s="30">
        <v>293.99700000000001</v>
      </c>
      <c r="E56" s="30">
        <v>307.33800000000002</v>
      </c>
      <c r="F56" s="30">
        <v>221.18199999999999</v>
      </c>
    </row>
    <row r="57" spans="1:13">
      <c r="A57" t="s">
        <v>269</v>
      </c>
      <c r="B57" s="31">
        <v>207449000</v>
      </c>
      <c r="C57" s="31">
        <v>118623000</v>
      </c>
      <c r="D57" s="31">
        <v>121123000</v>
      </c>
      <c r="E57" s="31">
        <v>140603000</v>
      </c>
      <c r="F57" s="31">
        <v>135155000</v>
      </c>
    </row>
    <row r="58" spans="1:13">
      <c r="A58" t="s">
        <v>270</v>
      </c>
      <c r="B58" s="31">
        <v>172710000</v>
      </c>
      <c r="C58" s="31">
        <v>87392000</v>
      </c>
      <c r="D58" s="31">
        <v>77983000</v>
      </c>
      <c r="E58" s="31">
        <v>85440000</v>
      </c>
      <c r="F58" s="31">
        <v>87599000</v>
      </c>
    </row>
    <row r="59" spans="1:13">
      <c r="A59" t="s">
        <v>271</v>
      </c>
      <c r="B59" s="31">
        <v>8429000</v>
      </c>
      <c r="C59" s="31">
        <v>5919000</v>
      </c>
      <c r="D59" s="31">
        <v>437000</v>
      </c>
      <c r="E59" s="31">
        <v>2287000</v>
      </c>
      <c r="F59" s="31">
        <v>-102000</v>
      </c>
    </row>
    <row r="60" spans="1:13">
      <c r="A60" t="s">
        <v>272</v>
      </c>
      <c r="B60" s="31">
        <v>6832000</v>
      </c>
      <c r="C60" s="31">
        <v>4368000</v>
      </c>
      <c r="D60" s="31">
        <v>4680000</v>
      </c>
      <c r="E60" s="31">
        <v>5856000</v>
      </c>
      <c r="F60" s="31">
        <v>6112000</v>
      </c>
    </row>
    <row r="61" spans="1:13">
      <c r="A61" t="s">
        <v>261</v>
      </c>
      <c r="B61" s="31">
        <v>4941000</v>
      </c>
      <c r="C61" s="31">
        <v>5982000</v>
      </c>
      <c r="D61" s="31">
        <v>4574000</v>
      </c>
      <c r="E61" s="31">
        <v>4620000</v>
      </c>
      <c r="F61" s="31">
        <v>4422000</v>
      </c>
    </row>
    <row r="62" spans="1:13">
      <c r="A62" t="s">
        <v>273</v>
      </c>
      <c r="B62" s="31">
        <v>11812000</v>
      </c>
      <c r="C62" s="31">
        <v>10142000</v>
      </c>
      <c r="D62" s="31">
        <v>12684000</v>
      </c>
      <c r="E62" s="31">
        <v>14804000</v>
      </c>
      <c r="F62" s="31">
        <v>14742000</v>
      </c>
    </row>
    <row r="63" spans="1:13">
      <c r="A63" t="s">
        <v>274</v>
      </c>
      <c r="B63" s="31">
        <v>5381000</v>
      </c>
      <c r="C63" s="31">
        <v>6103000</v>
      </c>
      <c r="D63" s="31">
        <v>8594000</v>
      </c>
      <c r="E63" s="31">
        <v>8842000</v>
      </c>
      <c r="F63" s="31">
        <v>8489000</v>
      </c>
    </row>
    <row r="64" spans="1:13">
      <c r="A64" s="5" t="s">
        <v>275</v>
      </c>
      <c r="B64" s="31">
        <v>2108000</v>
      </c>
      <c r="C64" s="31">
        <v>2560000</v>
      </c>
      <c r="D64" s="31">
        <v>2661000</v>
      </c>
      <c r="E64" s="31">
        <v>2614000</v>
      </c>
      <c r="F64" s="31">
        <v>3012000</v>
      </c>
    </row>
    <row r="65" spans="1:6">
      <c r="A65" t="s">
        <v>276</v>
      </c>
      <c r="B65" s="31">
        <v>13936000</v>
      </c>
      <c r="C65" s="31">
        <v>15494000</v>
      </c>
      <c r="D65" s="31">
        <v>24219000</v>
      </c>
      <c r="E65" s="31">
        <v>23860000</v>
      </c>
      <c r="F65" s="31">
        <v>21464000</v>
      </c>
    </row>
    <row r="66" spans="1:6">
      <c r="A66" t="s">
        <v>277</v>
      </c>
      <c r="B66" s="31">
        <v>6376000</v>
      </c>
      <c r="C66" s="31">
        <v>5585000</v>
      </c>
      <c r="D66" s="31">
        <v>5636000</v>
      </c>
      <c r="E66" s="31">
        <v>6889000</v>
      </c>
      <c r="F66" s="31">
        <v>7754000</v>
      </c>
    </row>
    <row r="67" spans="1:6">
      <c r="A67" t="s">
        <v>278</v>
      </c>
      <c r="B67" s="31">
        <v>5844000</v>
      </c>
      <c r="C67" s="31">
        <v>4145000</v>
      </c>
      <c r="D67" s="31">
        <v>4357000</v>
      </c>
      <c r="E67" s="31">
        <v>5023000</v>
      </c>
      <c r="F67" s="31">
        <v>4849000</v>
      </c>
    </row>
    <row r="68" spans="1:6">
      <c r="A68" t="s">
        <v>279</v>
      </c>
      <c r="B68" s="31">
        <v>21418000</v>
      </c>
      <c r="C68" s="31">
        <v>20462000</v>
      </c>
      <c r="D68" s="31">
        <v>21466000</v>
      </c>
      <c r="E68" s="31">
        <v>24252000</v>
      </c>
      <c r="F68" s="31">
        <v>24248000</v>
      </c>
    </row>
    <row r="69" spans="1:6">
      <c r="A69" s="5" t="s">
        <v>280</v>
      </c>
      <c r="B69" s="31">
        <v>325837000</v>
      </c>
      <c r="C69" s="31">
        <v>334432000</v>
      </c>
      <c r="D69" s="31">
        <v>356420000</v>
      </c>
      <c r="E69" s="31">
        <v>399595000</v>
      </c>
      <c r="F69" s="31">
        <v>398678000</v>
      </c>
    </row>
    <row r="70" spans="1:6">
      <c r="A70" s="5" t="s">
        <v>281</v>
      </c>
      <c r="B70" s="31">
        <v>27802000</v>
      </c>
      <c r="C70" s="31">
        <v>26134000</v>
      </c>
      <c r="D70" s="31">
        <v>30622000</v>
      </c>
      <c r="E70" s="31">
        <v>26437000</v>
      </c>
      <c r="F70" s="31">
        <v>33698000</v>
      </c>
    </row>
    <row r="71" spans="1:6">
      <c r="A71" t="s">
        <v>282</v>
      </c>
      <c r="B71" s="31">
        <v>84822000</v>
      </c>
      <c r="C71" s="31">
        <v>47606000</v>
      </c>
      <c r="D71" s="31">
        <v>49388000</v>
      </c>
      <c r="E71" s="31">
        <v>53259000</v>
      </c>
      <c r="F71" s="31">
        <v>56164000</v>
      </c>
    </row>
    <row r="72" spans="1:6">
      <c r="A72" t="s">
        <v>283</v>
      </c>
      <c r="B72" s="31">
        <v>30670</v>
      </c>
      <c r="C72" s="31">
        <v>28725</v>
      </c>
      <c r="D72" s="31">
        <v>28279</v>
      </c>
      <c r="E72" s="31">
        <v>28657</v>
      </c>
      <c r="F72" s="31">
        <v>27678</v>
      </c>
    </row>
    <row r="73" spans="1:6">
      <c r="A73" t="s">
        <v>284</v>
      </c>
      <c r="B73" s="31">
        <v>706000</v>
      </c>
      <c r="C73" s="31">
        <v>515000</v>
      </c>
      <c r="D73" s="31">
        <v>462000</v>
      </c>
      <c r="E73" s="31">
        <v>752000</v>
      </c>
      <c r="F73" s="31">
        <v>870000</v>
      </c>
    </row>
    <row r="74" spans="1:6">
      <c r="A74" t="s">
        <v>179</v>
      </c>
      <c r="B74" t="s">
        <v>180</v>
      </c>
      <c r="C74" t="s">
        <v>285</v>
      </c>
      <c r="D74" t="s">
        <v>285</v>
      </c>
      <c r="E74" t="s">
        <v>181</v>
      </c>
      <c r="F74" t="s">
        <v>182</v>
      </c>
    </row>
    <row r="75" spans="1:6">
      <c r="A75" t="s">
        <v>183</v>
      </c>
      <c r="B75" t="s">
        <v>286</v>
      </c>
      <c r="C75" t="s">
        <v>286</v>
      </c>
      <c r="D75" t="s">
        <v>286</v>
      </c>
      <c r="E75" t="s">
        <v>184</v>
      </c>
      <c r="F75" t="s">
        <v>184</v>
      </c>
    </row>
    <row r="76" spans="1:6">
      <c r="A76" s="1" t="s">
        <v>287</v>
      </c>
    </row>
    <row r="77" spans="1:6">
      <c r="A77" t="s">
        <v>288</v>
      </c>
      <c r="B77" s="31">
        <v>240200</v>
      </c>
      <c r="C77" s="31">
        <v>3000</v>
      </c>
      <c r="D77" s="31">
        <v>167000</v>
      </c>
      <c r="E77" s="31">
        <v>207000</v>
      </c>
      <c r="F77" t="s">
        <v>119</v>
      </c>
    </row>
    <row r="78" spans="1:6">
      <c r="A78" s="5" t="s">
        <v>289</v>
      </c>
      <c r="B78" s="31">
        <v>240200</v>
      </c>
      <c r="C78" s="31">
        <v>287500</v>
      </c>
      <c r="D78" s="31">
        <v>271250</v>
      </c>
      <c r="E78" t="s">
        <v>119</v>
      </c>
      <c r="F78" t="s">
        <v>119</v>
      </c>
    </row>
    <row r="79" spans="1:6">
      <c r="A79" t="s">
        <v>290</v>
      </c>
      <c r="B79" s="31">
        <v>240200</v>
      </c>
      <c r="C79" s="31">
        <v>287500</v>
      </c>
      <c r="D79" s="31">
        <v>271250</v>
      </c>
      <c r="E79" t="s">
        <v>119</v>
      </c>
      <c r="F79" t="s">
        <v>119</v>
      </c>
    </row>
    <row r="80" spans="1:6">
      <c r="A80" t="s">
        <v>291</v>
      </c>
      <c r="B80" s="31">
        <v>240200</v>
      </c>
      <c r="C80" s="31">
        <v>287500</v>
      </c>
      <c r="D80" s="31">
        <v>271250</v>
      </c>
      <c r="E80" t="s">
        <v>119</v>
      </c>
      <c r="F80" t="s">
        <v>119</v>
      </c>
    </row>
    <row r="81" spans="1:18">
      <c r="A81" t="s">
        <v>292</v>
      </c>
      <c r="B81" s="31">
        <v>240200</v>
      </c>
      <c r="C81" s="31">
        <v>287500</v>
      </c>
      <c r="D81" s="31">
        <v>271250</v>
      </c>
      <c r="E81" t="s">
        <v>119</v>
      </c>
      <c r="F81" t="s">
        <v>119</v>
      </c>
    </row>
    <row r="82" spans="1:18">
      <c r="A82" t="s">
        <v>293</v>
      </c>
      <c r="B82" s="31">
        <v>19090000</v>
      </c>
      <c r="C82" s="31">
        <v>608000</v>
      </c>
      <c r="D82" s="31">
        <v>763000</v>
      </c>
      <c r="E82" s="31">
        <v>1307000</v>
      </c>
      <c r="F82" s="31">
        <v>1395000</v>
      </c>
    </row>
    <row r="83" spans="1:18">
      <c r="A83" t="s">
        <v>294</v>
      </c>
      <c r="B83" s="31">
        <v>716000</v>
      </c>
      <c r="C83" s="31">
        <v>777000</v>
      </c>
      <c r="D83" s="31">
        <v>2215000</v>
      </c>
      <c r="E83" s="31">
        <v>3551000</v>
      </c>
      <c r="F83" s="31">
        <v>115934000</v>
      </c>
    </row>
    <row r="84" spans="1:18">
      <c r="A84" t="s">
        <v>295</v>
      </c>
      <c r="B84" s="31">
        <v>21007000</v>
      </c>
      <c r="C84" s="31">
        <v>2538000</v>
      </c>
      <c r="D84" s="31">
        <v>4230000</v>
      </c>
      <c r="E84" s="31">
        <v>5065000</v>
      </c>
      <c r="F84" s="31">
        <v>117329000</v>
      </c>
    </row>
    <row r="85" spans="1:18">
      <c r="A85" s="1" t="s">
        <v>296</v>
      </c>
    </row>
    <row r="86" spans="1:18">
      <c r="A86" t="s">
        <v>297</v>
      </c>
      <c r="B86" s="31">
        <v>36627000</v>
      </c>
      <c r="C86" s="31">
        <v>33119000</v>
      </c>
      <c r="D86" s="31">
        <v>45151000</v>
      </c>
      <c r="E86" s="31">
        <v>57311000</v>
      </c>
      <c r="F86" s="31">
        <v>50079000</v>
      </c>
    </row>
    <row r="87" spans="1:18">
      <c r="A87" t="s">
        <v>298</v>
      </c>
      <c r="B87" s="31">
        <v>645000</v>
      </c>
      <c r="C87" s="31">
        <v>1436000</v>
      </c>
      <c r="D87" s="31">
        <v>247000</v>
      </c>
      <c r="E87" s="31">
        <v>472000</v>
      </c>
      <c r="F87" s="31">
        <v>1297000</v>
      </c>
    </row>
    <row r="88" spans="1:18">
      <c r="A88" t="s">
        <v>299</v>
      </c>
      <c r="B88" s="31">
        <v>27903000</v>
      </c>
      <c r="C88" s="31">
        <v>31914000</v>
      </c>
      <c r="D88" s="31">
        <v>42593000</v>
      </c>
      <c r="E88" s="31">
        <v>34246000</v>
      </c>
      <c r="F88" s="31">
        <v>34695000</v>
      </c>
    </row>
    <row r="89" spans="1:18">
      <c r="A89" t="s">
        <v>300</v>
      </c>
      <c r="B89" s="31">
        <v>65175000</v>
      </c>
      <c r="C89" s="31">
        <v>66469000</v>
      </c>
      <c r="D89" s="31">
        <v>87991000</v>
      </c>
      <c r="E89" s="31">
        <v>92029000</v>
      </c>
      <c r="F89" s="31">
        <v>86071000</v>
      </c>
    </row>
    <row r="90" spans="1:18">
      <c r="A90" t="s">
        <v>301</v>
      </c>
      <c r="B90" s="31">
        <v>50701000</v>
      </c>
      <c r="C90" s="31">
        <v>72226000</v>
      </c>
      <c r="D90" s="31">
        <v>71667000</v>
      </c>
      <c r="E90" s="31">
        <v>82768000</v>
      </c>
      <c r="F90" s="31">
        <v>55778000</v>
      </c>
    </row>
    <row r="91" spans="1:18">
      <c r="A91" t="s">
        <v>302</v>
      </c>
      <c r="B91" s="31">
        <v>7578000</v>
      </c>
      <c r="C91" s="31">
        <v>4559000</v>
      </c>
      <c r="D91" s="31">
        <v>6845000</v>
      </c>
      <c r="E91" s="31">
        <v>3181000</v>
      </c>
      <c r="F91" s="31">
        <v>4471000</v>
      </c>
    </row>
    <row r="92" spans="1:18">
      <c r="A92" t="s">
        <v>303</v>
      </c>
      <c r="B92" s="31">
        <v>155604000</v>
      </c>
      <c r="C92" s="31">
        <v>58380000</v>
      </c>
      <c r="D92" s="31">
        <v>67234000</v>
      </c>
      <c r="E92" s="31">
        <v>69337000</v>
      </c>
      <c r="F92" s="31">
        <v>86923000</v>
      </c>
    </row>
    <row r="93" spans="1:18">
      <c r="A93" t="s">
        <v>304</v>
      </c>
      <c r="B93" s="31">
        <v>213883000</v>
      </c>
      <c r="C93" s="31">
        <v>135165000</v>
      </c>
      <c r="D93" s="31">
        <v>145746000</v>
      </c>
      <c r="E93" s="31">
        <v>155286000</v>
      </c>
      <c r="F93" s="31">
        <v>147172000</v>
      </c>
    </row>
    <row r="94" spans="1:18">
      <c r="M94" s="8"/>
      <c r="N94" s="8"/>
      <c r="O94" s="8"/>
      <c r="P94" s="8"/>
      <c r="Q94" s="8"/>
      <c r="R94" s="8"/>
    </row>
    <row r="95" spans="1:18">
      <c r="A95" s="8"/>
      <c r="B95" s="8">
        <v>2020</v>
      </c>
      <c r="C95" s="8">
        <v>2021</v>
      </c>
      <c r="D95" s="8">
        <v>2022</v>
      </c>
      <c r="E95" s="8">
        <v>2023</v>
      </c>
      <c r="F95" s="8">
        <v>2024</v>
      </c>
    </row>
    <row r="96" spans="1:18">
      <c r="A96" t="s">
        <v>2</v>
      </c>
      <c r="B96" s="31">
        <v>241461000</v>
      </c>
      <c r="C96" s="31">
        <v>210924000</v>
      </c>
      <c r="D96" s="31">
        <v>233937000</v>
      </c>
      <c r="E96" s="31">
        <v>237157000</v>
      </c>
      <c r="F96" s="31">
        <v>175940000</v>
      </c>
    </row>
    <row r="97" spans="1:6">
      <c r="A97" t="s">
        <v>4</v>
      </c>
      <c r="B97" s="31">
        <v>474535000</v>
      </c>
      <c r="C97" s="31">
        <v>360743000</v>
      </c>
      <c r="D97" s="31">
        <v>419548000</v>
      </c>
      <c r="E97" s="31">
        <v>433838000</v>
      </c>
      <c r="F97" s="31">
        <v>364980000</v>
      </c>
    </row>
    <row r="98" spans="1:6">
      <c r="A98" t="s">
        <v>5</v>
      </c>
      <c r="B98" s="31">
        <v>155917000</v>
      </c>
      <c r="C98" s="31">
        <v>152471000</v>
      </c>
      <c r="D98" s="31">
        <v>193197000</v>
      </c>
      <c r="E98" s="31">
        <v>201524000</v>
      </c>
      <c r="F98" s="31">
        <v>147427000</v>
      </c>
    </row>
    <row r="99" spans="1:6">
      <c r="A99" t="s">
        <v>7</v>
      </c>
      <c r="B99" s="31">
        <v>318618000</v>
      </c>
      <c r="C99" s="31">
        <v>208272000</v>
      </c>
      <c r="D99" s="31">
        <v>226351000</v>
      </c>
      <c r="E99" s="31">
        <v>232314000</v>
      </c>
      <c r="F99" s="31">
        <v>217553000</v>
      </c>
    </row>
    <row r="100" spans="1:6">
      <c r="A100" t="s">
        <v>8</v>
      </c>
      <c r="B100" s="31">
        <v>474535000</v>
      </c>
      <c r="C100" s="31">
        <v>360743000</v>
      </c>
      <c r="D100" s="31">
        <v>419548000</v>
      </c>
      <c r="E100" s="31">
        <v>433838000</v>
      </c>
      <c r="F100" s="31">
        <v>364980000</v>
      </c>
    </row>
    <row r="118" spans="1:1">
      <c r="A118" s="1"/>
    </row>
    <row r="178" spans="1:1">
      <c r="A178" s="1"/>
    </row>
    <row r="220" spans="1:1">
      <c r="A220" s="1"/>
    </row>
    <row r="261" spans="1:6">
      <c r="A261" s="1" t="s">
        <v>18</v>
      </c>
    </row>
    <row r="262" spans="1:6">
      <c r="A262" t="s">
        <v>19</v>
      </c>
      <c r="B262">
        <v>2414102.861</v>
      </c>
      <c r="C262">
        <v>2091820.683</v>
      </c>
      <c r="D262">
        <v>0</v>
      </c>
      <c r="E262">
        <v>0</v>
      </c>
      <c r="F262">
        <v>0</v>
      </c>
    </row>
    <row r="263" spans="1:6">
      <c r="A263" t="s">
        <v>20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21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22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23</v>
      </c>
      <c r="B266">
        <v>0</v>
      </c>
      <c r="C266">
        <v>0</v>
      </c>
      <c r="D266">
        <v>0</v>
      </c>
      <c r="E266">
        <v>0</v>
      </c>
      <c r="F266">
        <v>0</v>
      </c>
    </row>
    <row r="269" spans="1:6">
      <c r="A269" s="2" t="s">
        <v>24</v>
      </c>
      <c r="B269" s="3"/>
      <c r="C269" s="3"/>
      <c r="D269" s="3"/>
      <c r="E269" s="3"/>
      <c r="F269" s="3"/>
    </row>
    <row r="270" spans="1:6">
      <c r="A270" s="3" t="s">
        <v>25</v>
      </c>
      <c r="B270" s="3">
        <v>81284</v>
      </c>
      <c r="C270" s="3">
        <v>87822</v>
      </c>
      <c r="D270" s="3">
        <v>89092</v>
      </c>
      <c r="E270" s="3">
        <v>158000</v>
      </c>
      <c r="F270" s="3">
        <v>145977</v>
      </c>
    </row>
    <row r="273" spans="1:6">
      <c r="A273" s="1" t="s">
        <v>26</v>
      </c>
    </row>
    <row r="274" spans="1:6">
      <c r="A274" t="s">
        <v>27</v>
      </c>
      <c r="B274">
        <v>13096599</v>
      </c>
      <c r="C274">
        <v>13221312</v>
      </c>
      <c r="D274">
        <v>13194321</v>
      </c>
      <c r="E274">
        <v>13832498</v>
      </c>
      <c r="F274">
        <v>14264891</v>
      </c>
    </row>
    <row r="275" spans="1:6">
      <c r="A275" t="s">
        <v>28</v>
      </c>
      <c r="B275">
        <v>13096599</v>
      </c>
      <c r="C275">
        <v>13221312</v>
      </c>
      <c r="D275">
        <v>13194321</v>
      </c>
      <c r="E275">
        <v>13832498</v>
      </c>
      <c r="F275">
        <v>14264891</v>
      </c>
    </row>
    <row r="276" spans="1:6">
      <c r="A276" t="s">
        <v>29</v>
      </c>
      <c r="B276">
        <v>12</v>
      </c>
      <c r="C276">
        <v>12</v>
      </c>
      <c r="D276">
        <v>12</v>
      </c>
      <c r="E276">
        <v>12</v>
      </c>
      <c r="F276">
        <v>12</v>
      </c>
    </row>
    <row r="277" spans="1:6">
      <c r="A277" t="s">
        <v>30</v>
      </c>
      <c r="B277">
        <v>12</v>
      </c>
      <c r="C277">
        <v>12</v>
      </c>
      <c r="D277">
        <v>12</v>
      </c>
      <c r="E277">
        <v>12</v>
      </c>
      <c r="F277">
        <v>12</v>
      </c>
    </row>
    <row r="278" spans="1:6">
      <c r="A278" t="s">
        <v>31</v>
      </c>
      <c r="B278">
        <v>145522441.833</v>
      </c>
      <c r="C278">
        <v>173971062.7044</v>
      </c>
      <c r="D278">
        <v>157269463.0609</v>
      </c>
      <c r="E278">
        <v>136989633.55689999</v>
      </c>
      <c r="F278">
        <v>169528174.5126</v>
      </c>
    </row>
    <row r="279" spans="1:6">
      <c r="A279" t="s">
        <v>32</v>
      </c>
      <c r="B279">
        <v>32202735.149599999</v>
      </c>
      <c r="C279">
        <v>23936282.497099999</v>
      </c>
      <c r="D279">
        <v>22636296.2498</v>
      </c>
      <c r="E279">
        <v>20723209.737799998</v>
      </c>
      <c r="F279">
        <v>19292922.7663</v>
      </c>
    </row>
    <row r="280" spans="1:6">
      <c r="A280" t="s">
        <v>33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34</v>
      </c>
      <c r="B281">
        <v>1225272</v>
      </c>
      <c r="C281">
        <v>1214728</v>
      </c>
      <c r="D281">
        <v>1214632</v>
      </c>
      <c r="E281">
        <v>1214762</v>
      </c>
      <c r="F281">
        <v>1214962</v>
      </c>
    </row>
    <row r="282" spans="1:6">
      <c r="A282" t="s">
        <v>35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36</v>
      </c>
      <c r="B283">
        <v>3865526.6669999999</v>
      </c>
      <c r="C283">
        <v>-33156181.377</v>
      </c>
      <c r="D283">
        <v>-9002085.8479999993</v>
      </c>
      <c r="E283">
        <v>-2731229.37</v>
      </c>
      <c r="F283">
        <v>4976407.7220000001</v>
      </c>
    </row>
    <row r="284" spans="1:6">
      <c r="A284" t="s">
        <v>37</v>
      </c>
      <c r="B284">
        <v>164514445.27599999</v>
      </c>
      <c r="C284">
        <v>208770292.57499999</v>
      </c>
      <c r="D284">
        <v>139221664.75999999</v>
      </c>
      <c r="E284">
        <v>115440845.265</v>
      </c>
      <c r="F284">
        <v>79476158.619000003</v>
      </c>
    </row>
    <row r="285" spans="1:6">
      <c r="A285" t="s">
        <v>38</v>
      </c>
      <c r="B285">
        <v>81284</v>
      </c>
      <c r="C285">
        <v>87822</v>
      </c>
      <c r="D285">
        <v>89092</v>
      </c>
      <c r="E285">
        <v>158000</v>
      </c>
      <c r="F285">
        <v>145977</v>
      </c>
    </row>
    <row r="286" spans="1:6">
      <c r="A286" t="s">
        <v>39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40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41</v>
      </c>
      <c r="B288">
        <v>453095790</v>
      </c>
      <c r="C288">
        <v>334263059.60000002</v>
      </c>
      <c r="D288">
        <v>279123936</v>
      </c>
      <c r="E288">
        <v>295103682</v>
      </c>
      <c r="F288">
        <v>297731224.80000001</v>
      </c>
    </row>
    <row r="289" spans="1:6">
      <c r="A289" t="s">
        <v>42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43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44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45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15</v>
      </c>
      <c r="B293">
        <v>770.14319999999998</v>
      </c>
      <c r="C293">
        <v>247.06540000000001</v>
      </c>
      <c r="D293">
        <v>231.19319999999999</v>
      </c>
      <c r="E293">
        <v>424.26859999999999</v>
      </c>
      <c r="F293">
        <v>452.40069999999997</v>
      </c>
    </row>
    <row r="294" spans="1:6">
      <c r="A294" t="s">
        <v>46</v>
      </c>
      <c r="B294">
        <v>8</v>
      </c>
      <c r="C294">
        <v>8</v>
      </c>
      <c r="D294">
        <v>13</v>
      </c>
      <c r="E294">
        <v>8</v>
      </c>
      <c r="F294">
        <v>8</v>
      </c>
    </row>
    <row r="295" spans="1:6">
      <c r="A295" t="s">
        <v>47</v>
      </c>
      <c r="B295">
        <v>239949230</v>
      </c>
      <c r="C295">
        <v>109514595.09999999</v>
      </c>
      <c r="D295">
        <v>19125366</v>
      </c>
      <c r="E295">
        <v>20191153.5</v>
      </c>
      <c r="F295">
        <v>13919837.199999999</v>
      </c>
    </row>
    <row r="296" spans="1:6">
      <c r="A296" t="s">
        <v>48</v>
      </c>
      <c r="B296">
        <v>6473</v>
      </c>
      <c r="C296">
        <v>3706</v>
      </c>
      <c r="D296">
        <v>4938</v>
      </c>
      <c r="E296">
        <v>6001</v>
      </c>
      <c r="F296">
        <v>5619</v>
      </c>
    </row>
    <row r="297" spans="1:6">
      <c r="A297" t="s">
        <v>49</v>
      </c>
      <c r="B297">
        <v>7739</v>
      </c>
      <c r="C297">
        <v>4721</v>
      </c>
      <c r="D297">
        <v>4308</v>
      </c>
      <c r="E297">
        <v>5136</v>
      </c>
      <c r="F297">
        <v>6306</v>
      </c>
    </row>
    <row r="298" spans="1:6">
      <c r="A298" t="s">
        <v>50</v>
      </c>
      <c r="B298">
        <v>62.703699999999998</v>
      </c>
      <c r="C298">
        <v>68.266300000000001</v>
      </c>
      <c r="D298">
        <v>71.539500000000004</v>
      </c>
      <c r="E298">
        <v>69.515500000000003</v>
      </c>
      <c r="F298">
        <v>80.686599999999999</v>
      </c>
    </row>
    <row r="299" spans="1:6">
      <c r="A299" t="s">
        <v>51</v>
      </c>
      <c r="B299">
        <v>165676195</v>
      </c>
      <c r="C299">
        <v>282087480.5</v>
      </c>
      <c r="D299">
        <v>306719907</v>
      </c>
      <c r="E299">
        <v>324924021</v>
      </c>
      <c r="F299">
        <v>304901300.80000001</v>
      </c>
    </row>
    <row r="300" spans="1:6">
      <c r="A300" t="s">
        <v>52</v>
      </c>
      <c r="B300">
        <v>0</v>
      </c>
      <c r="C300">
        <v>0</v>
      </c>
      <c r="D300">
        <v>0</v>
      </c>
      <c r="E300">
        <v>15096726</v>
      </c>
      <c r="F300">
        <v>9803224.5999999996</v>
      </c>
    </row>
    <row r="301" spans="1:6">
      <c r="A301" t="s">
        <v>53</v>
      </c>
      <c r="B301">
        <v>23902500</v>
      </c>
      <c r="C301">
        <v>153177085.59999999</v>
      </c>
      <c r="D301">
        <v>0</v>
      </c>
      <c r="E301">
        <v>0</v>
      </c>
      <c r="F301">
        <v>0</v>
      </c>
    </row>
    <row r="302" spans="1:6">
      <c r="A302" t="s">
        <v>54</v>
      </c>
      <c r="B302">
        <v>1251282</v>
      </c>
      <c r="C302">
        <v>721587</v>
      </c>
      <c r="D302">
        <v>665142</v>
      </c>
      <c r="E302">
        <v>739676</v>
      </c>
      <c r="F302">
        <v>911984</v>
      </c>
    </row>
    <row r="303" spans="1:6">
      <c r="A303" t="s">
        <v>55</v>
      </c>
      <c r="B303">
        <v>765281</v>
      </c>
      <c r="C303">
        <v>357003</v>
      </c>
      <c r="D303">
        <v>379682</v>
      </c>
      <c r="E303">
        <v>411713</v>
      </c>
      <c r="F303">
        <v>399277</v>
      </c>
    </row>
    <row r="304" spans="1:6">
      <c r="A304" t="s">
        <v>56</v>
      </c>
      <c r="B304">
        <v>81000015</v>
      </c>
      <c r="C304">
        <v>26742785</v>
      </c>
      <c r="D304">
        <v>32845327</v>
      </c>
      <c r="E304">
        <v>44389393</v>
      </c>
      <c r="F304">
        <v>51247633</v>
      </c>
    </row>
    <row r="305" spans="1:6">
      <c r="A305" t="s">
        <v>57</v>
      </c>
      <c r="B305">
        <v>1</v>
      </c>
      <c r="C305">
        <v>1</v>
      </c>
      <c r="D305">
        <v>1</v>
      </c>
      <c r="E305">
        <v>1</v>
      </c>
      <c r="F305">
        <v>1</v>
      </c>
    </row>
    <row r="306" spans="1:6">
      <c r="A306" t="s">
        <v>58</v>
      </c>
      <c r="B306">
        <v>0</v>
      </c>
      <c r="C306">
        <v>0</v>
      </c>
      <c r="D306">
        <v>0</v>
      </c>
      <c r="E306">
        <v>0</v>
      </c>
      <c r="F306">
        <v>0</v>
      </c>
    </row>
  </sheetData>
  <sortState xmlns:xlrd2="http://schemas.microsoft.com/office/spreadsheetml/2017/richdata2" columnSort="1" ref="B5:F75">
    <sortCondition ref="B5:F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82"/>
  <sheetViews>
    <sheetView workbookViewId="0">
      <selection activeCell="F47" sqref="F47"/>
    </sheetView>
  </sheetViews>
  <sheetFormatPr baseColWidth="10" defaultColWidth="8.83203125" defaultRowHeight="15"/>
  <cols>
    <col min="1" max="1" width="39.5" style="1" bestFit="1" customWidth="1"/>
    <col min="2" max="6" width="12.6640625" bestFit="1" customWidth="1"/>
    <col min="20" max="20" width="34" bestFit="1" customWidth="1"/>
    <col min="21" max="25" width="12.6640625" bestFit="1" customWidth="1"/>
  </cols>
  <sheetData>
    <row r="1" spans="1:25">
      <c r="A1" s="6" t="s">
        <v>115</v>
      </c>
    </row>
    <row r="2" spans="1:25">
      <c r="A2" s="6" t="s">
        <v>305</v>
      </c>
    </row>
    <row r="4" spans="1:25">
      <c r="A4" s="7" t="s">
        <v>17</v>
      </c>
      <c r="B4" s="9" t="s">
        <v>113</v>
      </c>
      <c r="C4" s="9" t="s">
        <v>113</v>
      </c>
      <c r="D4" s="9" t="s">
        <v>113</v>
      </c>
      <c r="E4" s="9" t="s">
        <v>113</v>
      </c>
      <c r="F4" s="9" t="s">
        <v>113</v>
      </c>
    </row>
    <row r="5" spans="1:25">
      <c r="A5" s="7"/>
      <c r="B5" s="9">
        <v>2020</v>
      </c>
      <c r="C5" s="9">
        <v>2021</v>
      </c>
      <c r="D5" s="9">
        <v>2022</v>
      </c>
      <c r="E5" s="9">
        <v>2023</v>
      </c>
      <c r="F5" s="9">
        <v>2024</v>
      </c>
    </row>
    <row r="6" spans="1:25">
      <c r="A6" s="1" t="s">
        <v>306</v>
      </c>
    </row>
    <row r="7" spans="1:25">
      <c r="A7" s="5" t="s">
        <v>307</v>
      </c>
      <c r="B7" s="31">
        <v>-91754000</v>
      </c>
      <c r="C7" s="31">
        <v>9032000</v>
      </c>
      <c r="D7" s="31">
        <v>38956000</v>
      </c>
      <c r="E7" s="31">
        <v>8799000</v>
      </c>
      <c r="F7" s="31">
        <v>-44271000</v>
      </c>
      <c r="T7" s="7"/>
      <c r="U7" s="8"/>
      <c r="V7" s="8"/>
      <c r="W7" s="8"/>
      <c r="X7" s="8"/>
      <c r="Y7" s="8"/>
    </row>
    <row r="8" spans="1:25">
      <c r="A8" s="5" t="s">
        <v>120</v>
      </c>
      <c r="B8" s="31">
        <v>22327000</v>
      </c>
      <c r="C8" s="31">
        <v>17644000</v>
      </c>
      <c r="D8" s="31">
        <v>14073000</v>
      </c>
      <c r="E8" s="31">
        <v>16491000</v>
      </c>
      <c r="F8" s="31">
        <v>15644000</v>
      </c>
      <c r="T8" s="1"/>
    </row>
    <row r="9" spans="1:25">
      <c r="A9" s="5" t="s">
        <v>121</v>
      </c>
      <c r="B9" s="31">
        <v>-43000</v>
      </c>
      <c r="C9" s="31">
        <v>6000</v>
      </c>
      <c r="D9" t="s">
        <v>119</v>
      </c>
      <c r="E9" s="31">
        <v>899000</v>
      </c>
      <c r="F9" s="31">
        <v>48000</v>
      </c>
      <c r="T9" s="1"/>
    </row>
    <row r="10" spans="1:25">
      <c r="A10" s="5" t="s">
        <v>308</v>
      </c>
      <c r="B10" s="31">
        <v>22284000</v>
      </c>
      <c r="C10" s="31">
        <v>17650000</v>
      </c>
      <c r="D10" s="31">
        <v>14073000</v>
      </c>
      <c r="E10" s="31">
        <v>17390000</v>
      </c>
      <c r="F10" s="31">
        <v>15692000</v>
      </c>
      <c r="T10" s="1"/>
    </row>
    <row r="11" spans="1:25">
      <c r="A11" s="5" t="s">
        <v>140</v>
      </c>
      <c r="B11" s="31">
        <v>-810000</v>
      </c>
      <c r="C11" s="31">
        <v>-446000</v>
      </c>
      <c r="D11" s="31">
        <v>-859000</v>
      </c>
      <c r="E11" s="31">
        <v>-433000</v>
      </c>
      <c r="F11" s="31">
        <v>-217000</v>
      </c>
      <c r="T11" s="1"/>
    </row>
    <row r="12" spans="1:25">
      <c r="A12" s="5" t="s">
        <v>309</v>
      </c>
      <c r="B12" s="31">
        <v>-715000</v>
      </c>
      <c r="C12" s="31">
        <v>-5520000</v>
      </c>
      <c r="D12" s="31">
        <v>-8460000</v>
      </c>
      <c r="E12" s="31">
        <v>-650000</v>
      </c>
      <c r="F12" s="31">
        <v>480000</v>
      </c>
    </row>
    <row r="13" spans="1:25">
      <c r="A13" s="5" t="s">
        <v>310</v>
      </c>
      <c r="B13" t="s">
        <v>119</v>
      </c>
      <c r="C13" s="31">
        <v>112000</v>
      </c>
      <c r="D13" t="s">
        <v>119</v>
      </c>
      <c r="E13" t="s">
        <v>119</v>
      </c>
      <c r="F13" t="s">
        <v>119</v>
      </c>
    </row>
    <row r="14" spans="1:25">
      <c r="A14" s="5" t="s">
        <v>311</v>
      </c>
      <c r="B14" s="31">
        <v>112736000</v>
      </c>
      <c r="C14" s="31">
        <v>28620000</v>
      </c>
      <c r="D14" s="31">
        <v>-1443000</v>
      </c>
      <c r="E14" s="31">
        <v>33649000</v>
      </c>
      <c r="F14" s="31">
        <v>74886000</v>
      </c>
    </row>
    <row r="15" spans="1:25">
      <c r="A15" s="5" t="s">
        <v>312</v>
      </c>
      <c r="B15" s="31">
        <v>347000</v>
      </c>
      <c r="C15" s="31">
        <v>-814000</v>
      </c>
      <c r="D15" s="31">
        <v>-3128000</v>
      </c>
      <c r="E15" s="31">
        <v>-2623000</v>
      </c>
      <c r="F15" s="31">
        <v>-1758000</v>
      </c>
    </row>
    <row r="16" spans="1:25">
      <c r="A16" s="5" t="s">
        <v>313</v>
      </c>
      <c r="B16" s="31">
        <v>1946000</v>
      </c>
      <c r="C16" s="31">
        <v>1927000</v>
      </c>
      <c r="D16" s="31">
        <v>1164000</v>
      </c>
      <c r="E16" s="31">
        <v>1033000</v>
      </c>
      <c r="F16" s="31">
        <v>986000</v>
      </c>
    </row>
    <row r="17" spans="1:18">
      <c r="A17" s="5" t="s">
        <v>314</v>
      </c>
      <c r="B17" s="31">
        <v>-20111000</v>
      </c>
      <c r="C17" s="31">
        <v>-9318000</v>
      </c>
      <c r="D17" s="31">
        <v>11532000</v>
      </c>
      <c r="E17" s="31">
        <v>-16039000</v>
      </c>
      <c r="F17" s="31">
        <v>-3573000</v>
      </c>
    </row>
    <row r="18" spans="1:18">
      <c r="A18" s="5" t="s">
        <v>315</v>
      </c>
      <c r="B18" s="31">
        <v>6431000</v>
      </c>
      <c r="C18" s="31">
        <v>-7198000</v>
      </c>
      <c r="D18" s="31">
        <v>-9414000</v>
      </c>
      <c r="E18" s="31">
        <v>9002000</v>
      </c>
      <c r="F18" s="31">
        <v>-3094000</v>
      </c>
    </row>
    <row r="19" spans="1:18">
      <c r="A19" s="5" t="s">
        <v>316</v>
      </c>
      <c r="B19" s="31">
        <v>3397000</v>
      </c>
      <c r="C19" s="31">
        <v>-4872000</v>
      </c>
      <c r="D19" s="31">
        <v>-12281000</v>
      </c>
      <c r="E19" s="31">
        <v>1913000</v>
      </c>
      <c r="F19" s="31">
        <v>-54000</v>
      </c>
    </row>
    <row r="20" spans="1:18">
      <c r="A20" s="5" t="s">
        <v>317</v>
      </c>
      <c r="B20" s="31">
        <v>-3990000</v>
      </c>
      <c r="C20" s="31">
        <v>4916000</v>
      </c>
      <c r="D20" s="31">
        <v>10159000</v>
      </c>
      <c r="E20" s="31">
        <v>-2865000</v>
      </c>
      <c r="F20" s="31">
        <v>-1693000</v>
      </c>
    </row>
    <row r="21" spans="1:18">
      <c r="A21" s="5" t="s">
        <v>318</v>
      </c>
      <c r="B21" s="31">
        <v>29761000</v>
      </c>
      <c r="C21" s="31">
        <v>34089000</v>
      </c>
      <c r="D21" s="31">
        <v>40299000</v>
      </c>
      <c r="E21" s="31">
        <v>49176000</v>
      </c>
      <c r="F21" s="31">
        <v>37384000</v>
      </c>
    </row>
    <row r="22" spans="1:18">
      <c r="A22" s="1" t="s">
        <v>319</v>
      </c>
    </row>
    <row r="23" spans="1:18">
      <c r="A23" s="5" t="s">
        <v>320</v>
      </c>
      <c r="B23" s="31">
        <v>-35145000</v>
      </c>
      <c r="C23" s="31">
        <v>-16372000</v>
      </c>
      <c r="D23" s="31">
        <v>-23142000</v>
      </c>
      <c r="E23" s="31">
        <v>-30726000</v>
      </c>
      <c r="F23" s="31">
        <v>-30074000</v>
      </c>
      <c r="J23">
        <v>1000</v>
      </c>
    </row>
    <row r="24" spans="1:18">
      <c r="A24" s="5" t="s">
        <v>321</v>
      </c>
      <c r="B24" s="31">
        <v>678000</v>
      </c>
      <c r="C24" s="31">
        <v>1322000</v>
      </c>
      <c r="D24" s="31">
        <v>8484000</v>
      </c>
      <c r="E24" s="31">
        <v>802000</v>
      </c>
      <c r="F24" s="31">
        <v>138000</v>
      </c>
    </row>
    <row r="25" spans="1:18">
      <c r="A25" s="5" t="s">
        <v>322</v>
      </c>
      <c r="B25" s="31">
        <v>1226000</v>
      </c>
      <c r="C25" s="31">
        <v>30210000</v>
      </c>
      <c r="D25" t="s">
        <v>119</v>
      </c>
      <c r="E25" t="s">
        <v>119</v>
      </c>
      <c r="F25" t="s">
        <v>119</v>
      </c>
      <c r="M25" s="36"/>
      <c r="N25" s="37"/>
      <c r="O25" s="37"/>
      <c r="P25" s="37"/>
      <c r="Q25" s="37"/>
      <c r="R25" s="37"/>
    </row>
    <row r="26" spans="1:18">
      <c r="A26" s="5" t="s">
        <v>323</v>
      </c>
      <c r="B26" s="31">
        <v>-19000</v>
      </c>
      <c r="C26" s="31">
        <v>-3000</v>
      </c>
      <c r="D26" s="31">
        <v>-120000</v>
      </c>
      <c r="E26" s="31">
        <v>-128000</v>
      </c>
      <c r="F26" s="31">
        <v>-85000</v>
      </c>
      <c r="M26" s="38"/>
      <c r="N26" s="24"/>
      <c r="O26" s="24"/>
      <c r="P26" s="24"/>
      <c r="Q26" s="24"/>
      <c r="R26" s="24"/>
    </row>
    <row r="27" spans="1:18">
      <c r="A27" s="5" t="s">
        <v>324</v>
      </c>
      <c r="B27" s="31">
        <v>1947000</v>
      </c>
      <c r="C27" s="31">
        <v>11726000</v>
      </c>
      <c r="D27" s="31">
        <v>-192000</v>
      </c>
      <c r="E27" s="31">
        <v>-182000</v>
      </c>
      <c r="F27" s="31">
        <v>-217000</v>
      </c>
      <c r="M27" s="38"/>
      <c r="N27" s="24"/>
      <c r="O27" s="24"/>
      <c r="P27" s="24"/>
      <c r="Q27" s="24"/>
      <c r="R27" s="24"/>
    </row>
    <row r="28" spans="1:18">
      <c r="A28" s="5" t="s">
        <v>325</v>
      </c>
      <c r="B28" s="31">
        <v>-7237000</v>
      </c>
      <c r="C28" s="31">
        <v>-1790000</v>
      </c>
      <c r="D28" s="31">
        <v>-107000</v>
      </c>
      <c r="E28" s="31">
        <v>2000000</v>
      </c>
      <c r="F28" s="31">
        <v>-419000</v>
      </c>
      <c r="M28" s="38"/>
      <c r="N28" s="24"/>
      <c r="O28" s="24"/>
      <c r="P28" s="37"/>
      <c r="Q28" s="24"/>
      <c r="R28" s="24"/>
    </row>
    <row r="29" spans="1:18">
      <c r="A29" s="5" t="s">
        <v>326</v>
      </c>
      <c r="B29" s="31">
        <v>-38550000</v>
      </c>
      <c r="C29" s="31">
        <v>25093000</v>
      </c>
      <c r="D29" s="31">
        <v>-15077000</v>
      </c>
      <c r="E29" s="31">
        <v>-28234000</v>
      </c>
      <c r="F29" s="31">
        <v>-30657000</v>
      </c>
      <c r="M29" s="38"/>
      <c r="N29" s="24"/>
      <c r="O29" s="24"/>
      <c r="P29" s="24"/>
      <c r="Q29" s="24"/>
      <c r="R29" s="24"/>
    </row>
    <row r="30" spans="1:18">
      <c r="A30" s="1" t="s">
        <v>327</v>
      </c>
      <c r="M30" s="38"/>
      <c r="N30" s="24"/>
      <c r="O30" s="24"/>
      <c r="P30" s="24"/>
      <c r="Q30" s="24"/>
      <c r="R30" s="24"/>
    </row>
    <row r="31" spans="1:18">
      <c r="A31" s="5" t="s">
        <v>328</v>
      </c>
      <c r="B31" s="31">
        <v>19998000</v>
      </c>
      <c r="C31" s="31">
        <v>9000</v>
      </c>
      <c r="D31" s="31">
        <v>28000</v>
      </c>
      <c r="E31" s="31">
        <v>1787000</v>
      </c>
      <c r="F31" s="31">
        <v>2691000</v>
      </c>
      <c r="M31" s="38"/>
      <c r="N31" s="24"/>
      <c r="O31" s="24"/>
      <c r="P31" s="24"/>
      <c r="Q31" s="24"/>
      <c r="R31" s="24"/>
    </row>
    <row r="32" spans="1:18">
      <c r="A32" s="5" t="s">
        <v>329</v>
      </c>
      <c r="B32" s="31">
        <v>36487000</v>
      </c>
      <c r="C32" s="31">
        <v>26057000</v>
      </c>
      <c r="D32" s="31">
        <v>88000</v>
      </c>
      <c r="E32" s="31">
        <v>95035000</v>
      </c>
      <c r="F32" s="31">
        <v>30692000</v>
      </c>
      <c r="M32" s="38"/>
      <c r="N32" s="37"/>
      <c r="O32" s="24"/>
      <c r="P32" s="37"/>
      <c r="Q32" s="37"/>
      <c r="R32" s="37"/>
    </row>
    <row r="33" spans="1:18">
      <c r="A33" s="5" t="s">
        <v>330</v>
      </c>
      <c r="B33" s="31">
        <v>56485000</v>
      </c>
      <c r="C33" s="31">
        <v>26066000</v>
      </c>
      <c r="D33" s="31">
        <v>116000</v>
      </c>
      <c r="E33" s="31">
        <v>96822000</v>
      </c>
      <c r="F33" s="31">
        <v>33383000</v>
      </c>
      <c r="M33" s="38"/>
      <c r="N33" s="24"/>
      <c r="O33" s="24"/>
      <c r="P33" s="24"/>
      <c r="Q33" s="24"/>
      <c r="R33" s="24"/>
    </row>
    <row r="34" spans="1:18">
      <c r="A34" s="5" t="s">
        <v>331</v>
      </c>
      <c r="B34" s="31">
        <v>-977000</v>
      </c>
      <c r="C34" s="31">
        <v>-19717000</v>
      </c>
      <c r="D34" s="31">
        <v>-15000</v>
      </c>
      <c r="E34" s="31">
        <v>-1801000</v>
      </c>
      <c r="F34" s="31">
        <v>-2183000</v>
      </c>
      <c r="M34" s="38"/>
      <c r="N34" s="24"/>
      <c r="O34" s="24"/>
      <c r="P34" s="24"/>
      <c r="Q34" s="24"/>
      <c r="R34" s="24"/>
    </row>
    <row r="35" spans="1:18">
      <c r="A35" s="5" t="s">
        <v>332</v>
      </c>
      <c r="B35" s="31">
        <v>-30396000</v>
      </c>
      <c r="C35" s="31">
        <v>-64614000</v>
      </c>
      <c r="D35" s="31">
        <v>-15054000</v>
      </c>
      <c r="E35" s="31">
        <v>-93833000</v>
      </c>
      <c r="F35" s="31">
        <v>-38166000</v>
      </c>
      <c r="M35" s="38"/>
      <c r="N35" s="24"/>
      <c r="O35" s="24"/>
      <c r="P35" s="24"/>
      <c r="Q35" s="24"/>
      <c r="R35" s="24"/>
    </row>
    <row r="36" spans="1:18">
      <c r="A36" s="5" t="s">
        <v>333</v>
      </c>
      <c r="B36" s="31">
        <v>-31373000</v>
      </c>
      <c r="C36" s="31">
        <v>-84331000</v>
      </c>
      <c r="D36" s="31">
        <v>-15069000</v>
      </c>
      <c r="E36" s="31">
        <v>-95634000</v>
      </c>
      <c r="F36" s="31">
        <v>-40349000</v>
      </c>
      <c r="M36" s="38"/>
      <c r="N36" s="24"/>
      <c r="O36" s="24"/>
      <c r="P36" s="24"/>
      <c r="Q36" s="24"/>
      <c r="R36" s="24"/>
    </row>
    <row r="37" spans="1:18">
      <c r="A37" s="5" t="s">
        <v>334</v>
      </c>
      <c r="B37" s="31">
        <v>-31000</v>
      </c>
      <c r="C37" s="31">
        <v>-46000</v>
      </c>
      <c r="D37" s="31">
        <v>-49000</v>
      </c>
      <c r="E37" s="31">
        <v>-13754000</v>
      </c>
      <c r="F37" s="31">
        <v>-7633000</v>
      </c>
      <c r="M37" s="38"/>
      <c r="N37" s="24"/>
      <c r="O37" s="24"/>
      <c r="P37" s="24"/>
      <c r="Q37" s="24"/>
      <c r="R37" s="24"/>
    </row>
    <row r="38" spans="1:18">
      <c r="A38" s="5" t="s">
        <v>335</v>
      </c>
      <c r="B38" s="31">
        <v>-31000</v>
      </c>
      <c r="C38" s="31">
        <v>-46000</v>
      </c>
      <c r="D38" s="31">
        <v>-49000</v>
      </c>
      <c r="E38" s="31">
        <v>-13754000</v>
      </c>
      <c r="F38" s="31">
        <v>-7633000</v>
      </c>
      <c r="M38" s="38"/>
      <c r="N38" s="24"/>
      <c r="O38" s="24"/>
      <c r="P38" s="24"/>
      <c r="Q38" s="24"/>
      <c r="R38" s="24"/>
    </row>
    <row r="39" spans="1:18">
      <c r="A39" s="5" t="s">
        <v>336</v>
      </c>
      <c r="B39" s="31">
        <v>25081000</v>
      </c>
      <c r="C39" s="31">
        <v>-58311000</v>
      </c>
      <c r="D39" s="31">
        <v>-15002000</v>
      </c>
      <c r="E39" s="31">
        <v>-12566000</v>
      </c>
      <c r="F39" s="31">
        <v>-14599000</v>
      </c>
      <c r="M39" s="38"/>
      <c r="N39" s="24"/>
      <c r="O39" s="24"/>
      <c r="P39" s="24"/>
      <c r="Q39" s="24"/>
      <c r="R39" s="24"/>
    </row>
    <row r="40" spans="1:18">
      <c r="A40" s="1" t="s">
        <v>337</v>
      </c>
      <c r="M40" s="38"/>
      <c r="N40" s="24"/>
      <c r="O40" s="24"/>
      <c r="P40" s="24"/>
      <c r="Q40" s="24"/>
      <c r="R40" s="24"/>
    </row>
    <row r="41" spans="1:18">
      <c r="A41" s="5" t="s">
        <v>338</v>
      </c>
      <c r="B41" s="31">
        <v>3607000</v>
      </c>
      <c r="C41" s="31">
        <v>-2916000</v>
      </c>
      <c r="D41" s="31">
        <v>1759000</v>
      </c>
      <c r="E41" s="31">
        <v>2424000</v>
      </c>
      <c r="F41" s="31">
        <v>-633000</v>
      </c>
      <c r="M41" s="36"/>
      <c r="N41" s="37"/>
      <c r="O41" s="37"/>
      <c r="P41" s="37"/>
      <c r="Q41" s="37"/>
      <c r="R41" s="37"/>
    </row>
    <row r="42" spans="1:18">
      <c r="A42" s="5" t="s">
        <v>339</v>
      </c>
      <c r="B42" s="31">
        <v>-1624000</v>
      </c>
      <c r="C42" s="31">
        <v>-1061000</v>
      </c>
      <c r="D42" t="s">
        <v>119</v>
      </c>
      <c r="E42" t="s">
        <v>119</v>
      </c>
      <c r="F42" t="s">
        <v>119</v>
      </c>
      <c r="M42" s="38"/>
      <c r="N42" s="24"/>
      <c r="O42" s="24"/>
      <c r="P42" s="24"/>
      <c r="Q42" s="24"/>
      <c r="R42" s="24"/>
    </row>
    <row r="43" spans="1:18">
      <c r="A43" s="5" t="s">
        <v>340</v>
      </c>
      <c r="B43" s="31">
        <v>18275000</v>
      </c>
      <c r="C43" s="31">
        <v>-3106000</v>
      </c>
      <c r="D43" s="31">
        <v>11979000</v>
      </c>
      <c r="E43" s="31">
        <v>10800000</v>
      </c>
      <c r="F43" s="31">
        <v>-8505000</v>
      </c>
      <c r="M43" s="38"/>
      <c r="N43" s="24"/>
      <c r="O43" s="24"/>
      <c r="P43" s="24"/>
      <c r="Q43" s="24"/>
      <c r="R43" s="24"/>
    </row>
    <row r="44" spans="1:18">
      <c r="A44" s="1" t="s">
        <v>157</v>
      </c>
      <c r="M44" s="38"/>
      <c r="N44" s="24"/>
      <c r="O44" s="24"/>
      <c r="P44" s="24"/>
      <c r="Q44" s="24"/>
      <c r="R44" s="24"/>
    </row>
    <row r="45" spans="1:18">
      <c r="A45" s="5" t="s">
        <v>341</v>
      </c>
      <c r="B45" s="31">
        <v>7154000</v>
      </c>
      <c r="C45" s="31">
        <v>6173000</v>
      </c>
      <c r="D45" s="31">
        <v>5478000</v>
      </c>
      <c r="E45" s="31">
        <v>7083000</v>
      </c>
      <c r="F45" s="31">
        <v>8638000</v>
      </c>
      <c r="M45" s="38"/>
      <c r="N45" s="24"/>
      <c r="O45" s="24"/>
      <c r="P45" s="24"/>
      <c r="Q45" s="24"/>
      <c r="R45" s="24"/>
    </row>
    <row r="46" spans="1:18">
      <c r="A46" s="5" t="s">
        <v>342</v>
      </c>
      <c r="B46" s="31">
        <v>5659000</v>
      </c>
      <c r="C46" s="31">
        <v>5280000</v>
      </c>
      <c r="D46" s="31">
        <v>13531000</v>
      </c>
      <c r="E46" s="31">
        <v>13952000</v>
      </c>
      <c r="F46" s="31">
        <v>10932000</v>
      </c>
      <c r="M46" s="38"/>
      <c r="N46" s="24"/>
      <c r="O46" s="24"/>
      <c r="P46" s="24"/>
      <c r="Q46" s="24"/>
      <c r="R46" s="24"/>
    </row>
    <row r="47" spans="1:18">
      <c r="A47" s="5" t="s">
        <v>343</v>
      </c>
      <c r="B47" s="31">
        <v>-85179875</v>
      </c>
      <c r="C47" s="31">
        <v>85308625</v>
      </c>
      <c r="D47" s="31">
        <v>22117875</v>
      </c>
      <c r="E47" s="31">
        <v>15911000</v>
      </c>
      <c r="F47" s="31">
        <v>52662500</v>
      </c>
      <c r="M47" s="38"/>
      <c r="N47" s="24"/>
      <c r="O47" s="24"/>
      <c r="P47" s="24"/>
      <c r="Q47" s="24"/>
      <c r="R47" s="24"/>
    </row>
    <row r="48" spans="1:18">
      <c r="A48" s="5" t="s">
        <v>344</v>
      </c>
      <c r="B48" s="31">
        <v>-80584875</v>
      </c>
      <c r="C48" s="31">
        <v>89503000</v>
      </c>
      <c r="D48" s="31">
        <v>25725375</v>
      </c>
      <c r="E48" s="31">
        <v>21606625</v>
      </c>
      <c r="F48" s="31">
        <v>6916625</v>
      </c>
      <c r="M48" s="38"/>
      <c r="N48" s="24"/>
      <c r="O48" s="24"/>
      <c r="P48" s="24"/>
      <c r="Q48" s="24"/>
      <c r="R48" s="24"/>
    </row>
    <row r="49" spans="1:18">
      <c r="A49" s="5" t="s">
        <v>345</v>
      </c>
      <c r="B49" s="31">
        <v>77974000</v>
      </c>
      <c r="C49" s="31">
        <v>-70276000</v>
      </c>
      <c r="D49" s="31">
        <v>-2251000</v>
      </c>
      <c r="E49" s="31">
        <v>-477000</v>
      </c>
      <c r="F49" s="31">
        <v>7518000</v>
      </c>
      <c r="M49" s="38"/>
      <c r="N49" s="24"/>
      <c r="O49" s="24"/>
      <c r="P49" s="24"/>
      <c r="Q49" s="24"/>
      <c r="R49" s="24"/>
    </row>
    <row r="50" spans="1:18">
      <c r="A50" s="5" t="s">
        <v>346</v>
      </c>
      <c r="B50" s="31">
        <v>25112000</v>
      </c>
      <c r="C50" s="31">
        <v>-58265000</v>
      </c>
      <c r="D50" s="31">
        <v>-14953000</v>
      </c>
      <c r="E50" s="31">
        <v>1188000</v>
      </c>
      <c r="F50" s="31">
        <v>-6966000</v>
      </c>
      <c r="M50" s="38"/>
      <c r="N50" s="24"/>
      <c r="O50" s="24"/>
      <c r="P50" s="24"/>
      <c r="Q50" s="24"/>
      <c r="R50" s="24"/>
    </row>
    <row r="51" spans="1:18">
      <c r="A51" s="5" t="s">
        <v>179</v>
      </c>
      <c r="B51" t="s">
        <v>180</v>
      </c>
      <c r="C51" t="s">
        <v>285</v>
      </c>
      <c r="D51" t="s">
        <v>285</v>
      </c>
      <c r="E51" t="s">
        <v>285</v>
      </c>
      <c r="F51" t="s">
        <v>182</v>
      </c>
      <c r="M51" s="38"/>
      <c r="N51" s="24"/>
      <c r="O51" s="24"/>
      <c r="P51" s="24"/>
      <c r="Q51" s="24"/>
      <c r="R51" s="24"/>
    </row>
    <row r="52" spans="1:18">
      <c r="A52" s="5" t="s">
        <v>183</v>
      </c>
      <c r="B52" t="s">
        <v>184</v>
      </c>
      <c r="C52" t="s">
        <v>184</v>
      </c>
      <c r="D52" t="s">
        <v>184</v>
      </c>
      <c r="E52" t="s">
        <v>184</v>
      </c>
      <c r="F52" t="s">
        <v>184</v>
      </c>
      <c r="M52" s="38"/>
      <c r="N52" s="24"/>
      <c r="O52" s="24"/>
      <c r="P52" s="24"/>
      <c r="Q52" s="24"/>
      <c r="R52" s="24"/>
    </row>
    <row r="53" spans="1:18">
      <c r="M53" s="38"/>
      <c r="N53" s="24"/>
      <c r="O53" s="24"/>
      <c r="P53" s="24"/>
      <c r="Q53" s="24"/>
      <c r="R53" s="24"/>
    </row>
    <row r="54" spans="1:18">
      <c r="A54" s="7"/>
      <c r="B54" s="8">
        <v>2020</v>
      </c>
      <c r="C54" s="8">
        <v>2021</v>
      </c>
      <c r="D54" s="8">
        <v>2022</v>
      </c>
      <c r="E54" s="8">
        <v>2023</v>
      </c>
      <c r="F54" s="8">
        <v>2024</v>
      </c>
      <c r="M54" s="38"/>
      <c r="N54" s="24"/>
      <c r="O54" s="24"/>
      <c r="P54" s="24"/>
      <c r="Q54" s="24"/>
      <c r="R54" s="24"/>
    </row>
    <row r="55" spans="1:18">
      <c r="A55" s="1" t="str" cm="1">
        <f t="array" ref="A55:F55">A21:F21</f>
        <v xml:space="preserve">        Cash from Ops.</v>
      </c>
      <c r="B55">
        <v>29761000</v>
      </c>
      <c r="C55">
        <v>34089000</v>
      </c>
      <c r="D55">
        <v>40299000</v>
      </c>
      <c r="E55">
        <v>49176000</v>
      </c>
      <c r="F55">
        <v>37384000</v>
      </c>
      <c r="M55" s="38"/>
      <c r="N55" s="24"/>
      <c r="O55" s="24"/>
      <c r="P55" s="37"/>
      <c r="Q55" s="37"/>
      <c r="R55" s="37"/>
    </row>
    <row r="56" spans="1:18">
      <c r="A56" s="1" t="str" cm="1">
        <f t="array" ref="A56:F56">A29:F29</f>
        <v xml:space="preserve">        Cash from Investing</v>
      </c>
      <c r="B56">
        <v>-38550000</v>
      </c>
      <c r="C56">
        <v>25093000</v>
      </c>
      <c r="D56">
        <v>-15077000</v>
      </c>
      <c r="E56">
        <v>-28234000</v>
      </c>
      <c r="F56">
        <v>-30657000</v>
      </c>
      <c r="M56" s="38"/>
      <c r="N56" s="24"/>
      <c r="O56" s="24"/>
      <c r="P56" s="24"/>
      <c r="Q56" s="24"/>
      <c r="R56" s="24"/>
    </row>
    <row r="57" spans="1:18">
      <c r="A57" s="1" t="str" cm="1">
        <f t="array" ref="A57:F57">A39:F39</f>
        <v xml:space="preserve">        Cash from Financing</v>
      </c>
      <c r="B57">
        <v>25081000</v>
      </c>
      <c r="C57">
        <v>-58311000</v>
      </c>
      <c r="D57">
        <v>-15002000</v>
      </c>
      <c r="E57">
        <v>-12566000</v>
      </c>
      <c r="F57">
        <v>-14599000</v>
      </c>
      <c r="M57" s="38"/>
      <c r="N57" s="24"/>
      <c r="O57" s="24"/>
      <c r="P57" s="24"/>
      <c r="Q57" s="24"/>
      <c r="R57" s="24"/>
    </row>
    <row r="58" spans="1:18">
      <c r="A58" s="1" t="str" cm="1">
        <f t="array" ref="A58:F58">A43:F43</f>
        <v xml:space="preserve">        Net Change in Cash</v>
      </c>
      <c r="B58">
        <v>18275000</v>
      </c>
      <c r="C58">
        <v>-3106000</v>
      </c>
      <c r="D58">
        <v>11979000</v>
      </c>
      <c r="E58">
        <v>10800000</v>
      </c>
      <c r="F58">
        <v>-8505000</v>
      </c>
      <c r="M58" s="38"/>
      <c r="N58" s="24"/>
      <c r="O58" s="24"/>
      <c r="P58" s="24"/>
      <c r="Q58" s="24"/>
      <c r="R58" s="24"/>
    </row>
    <row r="59" spans="1:18">
      <c r="M59" s="38"/>
      <c r="N59" s="24"/>
      <c r="O59" s="24"/>
      <c r="P59" s="24"/>
      <c r="Q59" s="24"/>
      <c r="R59" s="24"/>
    </row>
    <row r="60" spans="1:18">
      <c r="M60" s="36"/>
      <c r="N60" s="37"/>
      <c r="O60" s="37"/>
      <c r="P60" s="37"/>
      <c r="Q60" s="37"/>
      <c r="R60" s="37"/>
    </row>
    <row r="61" spans="1:18">
      <c r="M61" s="38"/>
      <c r="N61" s="24"/>
      <c r="O61" s="24"/>
      <c r="P61" s="24"/>
      <c r="Q61" s="24"/>
      <c r="R61" s="24"/>
    </row>
    <row r="62" spans="1:18">
      <c r="M62" s="38"/>
      <c r="N62" s="24"/>
      <c r="O62" s="24"/>
      <c r="P62" s="24"/>
      <c r="Q62" s="24"/>
      <c r="R62" s="24"/>
    </row>
    <row r="63" spans="1:18">
      <c r="M63" s="38"/>
      <c r="N63" s="24"/>
      <c r="O63" s="24"/>
      <c r="P63" s="24"/>
      <c r="Q63" s="24"/>
      <c r="R63" s="24"/>
    </row>
    <row r="64" spans="1:18">
      <c r="M64" s="38"/>
      <c r="N64" s="24"/>
      <c r="O64" s="24"/>
      <c r="P64" s="24"/>
      <c r="Q64" s="24"/>
      <c r="R64" s="24"/>
    </row>
    <row r="65" spans="13:18">
      <c r="M65" s="38"/>
      <c r="N65" s="24"/>
      <c r="O65" s="24"/>
      <c r="P65" s="24"/>
      <c r="Q65" s="24"/>
      <c r="R65" s="24"/>
    </row>
    <row r="66" spans="13:18">
      <c r="M66" s="38"/>
      <c r="N66" s="24"/>
      <c r="O66" s="24"/>
      <c r="P66" s="24"/>
      <c r="Q66" s="24"/>
      <c r="R66" s="24"/>
    </row>
    <row r="67" spans="13:18">
      <c r="M67" s="38"/>
      <c r="N67" s="24"/>
      <c r="O67" s="24"/>
      <c r="P67" s="24"/>
      <c r="Q67" s="24"/>
      <c r="R67" s="24"/>
    </row>
    <row r="68" spans="13:18">
      <c r="M68" s="38"/>
      <c r="N68" s="24"/>
      <c r="O68" s="24"/>
      <c r="P68" s="24"/>
      <c r="Q68" s="24"/>
      <c r="R68" s="24"/>
    </row>
    <row r="69" spans="13:18">
      <c r="M69" s="38"/>
      <c r="N69" s="24"/>
      <c r="O69" s="24"/>
      <c r="P69" s="24"/>
      <c r="Q69" s="24"/>
      <c r="R69" s="24"/>
    </row>
    <row r="70" spans="13:18">
      <c r="M70" s="36"/>
      <c r="N70" s="37"/>
      <c r="O70" s="37"/>
      <c r="P70" s="37"/>
      <c r="Q70" s="37"/>
      <c r="R70" s="37"/>
    </row>
    <row r="71" spans="13:18">
      <c r="M71" s="38"/>
      <c r="N71" s="24"/>
      <c r="O71" s="24"/>
      <c r="P71" s="24"/>
      <c r="Q71" s="24"/>
      <c r="R71" s="24"/>
    </row>
    <row r="72" spans="13:18">
      <c r="M72" s="38"/>
      <c r="N72" s="24"/>
      <c r="O72" s="24"/>
      <c r="P72" s="37"/>
      <c r="Q72" s="37"/>
      <c r="R72" s="37"/>
    </row>
    <row r="73" spans="13:18">
      <c r="M73" s="38"/>
      <c r="N73" s="24"/>
      <c r="O73" s="24"/>
      <c r="P73" s="24"/>
      <c r="Q73" s="24"/>
      <c r="R73" s="24"/>
    </row>
    <row r="74" spans="13:18">
      <c r="M74" s="36"/>
      <c r="N74" s="37"/>
      <c r="O74" s="37"/>
      <c r="P74" s="37"/>
      <c r="Q74" s="37"/>
      <c r="R74" s="37"/>
    </row>
    <row r="75" spans="13:18">
      <c r="M75" s="38"/>
      <c r="N75" s="24"/>
      <c r="O75" s="24"/>
      <c r="P75" s="24"/>
      <c r="Q75" s="24"/>
      <c r="R75" s="24"/>
    </row>
    <row r="76" spans="13:18">
      <c r="M76" s="38"/>
      <c r="N76" s="24"/>
      <c r="O76" s="24"/>
      <c r="P76" s="24"/>
      <c r="Q76" s="24"/>
      <c r="R76" s="24"/>
    </row>
    <row r="77" spans="13:18">
      <c r="M77" s="38"/>
      <c r="N77" s="24"/>
      <c r="O77" s="24"/>
      <c r="P77" s="24"/>
      <c r="Q77" s="24"/>
      <c r="R77" s="24"/>
    </row>
    <row r="78" spans="13:18">
      <c r="M78" s="38"/>
      <c r="N78" s="24"/>
      <c r="O78" s="24"/>
      <c r="P78" s="24"/>
      <c r="Q78" s="24"/>
      <c r="R78" s="24"/>
    </row>
    <row r="79" spans="13:18">
      <c r="M79" s="38"/>
      <c r="N79" s="24"/>
      <c r="O79" s="24"/>
      <c r="P79" s="24"/>
      <c r="Q79" s="24"/>
      <c r="R79" s="24"/>
    </row>
    <row r="80" spans="13:18">
      <c r="M80" s="38"/>
      <c r="N80" s="24"/>
      <c r="O80" s="24"/>
      <c r="P80" s="24"/>
      <c r="Q80" s="24"/>
      <c r="R80" s="24"/>
    </row>
    <row r="81" spans="13:18">
      <c r="M81" s="38"/>
      <c r="N81" s="37"/>
      <c r="O81" s="37"/>
      <c r="P81" s="37"/>
      <c r="Q81" s="37"/>
      <c r="R81" s="37"/>
    </row>
    <row r="82" spans="13:18">
      <c r="M82" s="38"/>
      <c r="N82" s="37"/>
      <c r="O82" s="37"/>
      <c r="P82" s="37"/>
      <c r="Q82" s="37"/>
      <c r="R82" s="37"/>
    </row>
  </sheetData>
  <sortState xmlns:xlrd2="http://schemas.microsoft.com/office/spreadsheetml/2017/richdata2" columnSort="1" ref="B5:F43">
    <sortCondition ref="B5:F5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9"/>
  <sheetViews>
    <sheetView zoomScale="49" zoomScaleNormal="49" workbookViewId="0">
      <selection activeCell="M29" sqref="M29"/>
    </sheetView>
  </sheetViews>
  <sheetFormatPr baseColWidth="10" defaultColWidth="9.1640625" defaultRowHeight="16"/>
  <cols>
    <col min="1" max="1" width="62.6640625" style="4" bestFit="1" customWidth="1"/>
    <col min="2" max="6" width="16" style="4" bestFit="1" customWidth="1"/>
    <col min="7" max="16384" width="9.1640625" style="4"/>
  </cols>
  <sheetData>
    <row r="1" spans="1:6">
      <c r="A1" s="10" t="s">
        <v>347</v>
      </c>
    </row>
    <row r="3" spans="1:6">
      <c r="A3" s="11" t="s">
        <v>59</v>
      </c>
      <c r="B3" s="11">
        <v>2020</v>
      </c>
      <c r="C3" s="11">
        <v>2021</v>
      </c>
      <c r="D3" s="11">
        <v>2022</v>
      </c>
      <c r="E3" s="11">
        <v>2023</v>
      </c>
      <c r="F3" s="11">
        <v>2024</v>
      </c>
    </row>
    <row r="4" spans="1:6">
      <c r="A4" s="4" t="s">
        <v>60</v>
      </c>
      <c r="B4" s="12">
        <f>SOFP!B7/SOFP!B35</f>
        <v>0.37306428402671876</v>
      </c>
      <c r="C4" s="12">
        <f>SOFP!C7/SOFP!C35</f>
        <v>0.54254395108053644</v>
      </c>
      <c r="D4" s="12">
        <f>SOFP!D7/SOFP!D35</f>
        <v>0.47006265322800328</v>
      </c>
      <c r="E4" s="12">
        <f>SOFP!E7/SOFP!E35</f>
        <v>0.52844277636775217</v>
      </c>
      <c r="F4" s="12">
        <f>SOFP!F7/SOFP!F35</f>
        <v>0.83279199926598768</v>
      </c>
    </row>
    <row r="5" spans="1:6">
      <c r="A5" s="4" t="s">
        <v>61</v>
      </c>
      <c r="B5">
        <f>SOFP!B16/SOFP!B35</f>
        <v>1.9112201722545588</v>
      </c>
      <c r="C5">
        <f>SOFP!C16/SOFP!C35</f>
        <v>1.8269057049544855</v>
      </c>
      <c r="D5">
        <f>SOFP!D16/SOFP!D35</f>
        <v>1.4410896213565787</v>
      </c>
      <c r="E5">
        <f>SOFP!E16/SOFP!E35</f>
        <v>1.318304310758768</v>
      </c>
      <c r="F5">
        <f>SOFP!F16/SOFP!F35</f>
        <v>2.3253692999357738</v>
      </c>
    </row>
    <row r="6" spans="1:6">
      <c r="A6" s="4" t="s">
        <v>62</v>
      </c>
      <c r="B6" s="12">
        <f>(SOFP!B16-SOFP!B13)/SOFP!B35</f>
        <v>1.6126635022229858</v>
      </c>
      <c r="C6" s="12">
        <f>(SOFP!C16-SOFP!C13)/SOFP!C35</f>
        <v>1.310228615106664</v>
      </c>
      <c r="D6" s="12">
        <f>(SOFP!D16-SOFP!D13)/SOFP!D35</f>
        <v>0.99314628166712071</v>
      </c>
      <c r="E6" s="12">
        <f>(SOFP!E16-SOFP!E13)/SOFP!E35</f>
        <v>0.90472037394533888</v>
      </c>
      <c r="F6" s="12">
        <f>(SOFP!F16-SOFP!F13)/SOFP!F35</f>
        <v>1.5781631342324984</v>
      </c>
    </row>
    <row r="7" spans="1:6">
      <c r="A7" s="4" t="s">
        <v>106</v>
      </c>
      <c r="B7" s="12">
        <f>(SOFP!B16-SOFP!B35)/SOIC!B5</f>
        <v>0.4457232608592876</v>
      </c>
      <c r="C7" s="12">
        <f>(SOFP!C16-SOFP!C35)/SOIC!C5</f>
        <v>0.2357486008617701</v>
      </c>
      <c r="D7" s="12">
        <f>(SOFP!D16-SOFP!D35)/SOIC!D5</f>
        <v>0.14842014181692856</v>
      </c>
      <c r="E7" s="12">
        <f>(SOFP!E16-SOFP!E35)/SOIC!E5</f>
        <v>0.11212443388931846</v>
      </c>
      <c r="F7" s="12">
        <f>(SOFP!F16-SOFP!F35)/SOIC!F5</f>
        <v>0.26253403171810652</v>
      </c>
    </row>
    <row r="8" spans="1:6">
      <c r="A8" s="4" t="s">
        <v>107</v>
      </c>
      <c r="B8" s="12">
        <f>-SOIC!B54/SOIC!B19</f>
        <v>1.8113438520130576</v>
      </c>
      <c r="C8" s="12">
        <f>-SOIC!C54/SOIC!C19</f>
        <v>3.8205930561764267</v>
      </c>
      <c r="D8" s="12">
        <f>-SOIC!D54/SOIC!D19</f>
        <v>8.7316354816354824</v>
      </c>
      <c r="E8" s="12">
        <f>-SOIC!E54/SOIC!E19</f>
        <v>5.8923515856468782</v>
      </c>
      <c r="F8" s="12">
        <f>-SOIC!F54/SOIC!F19</f>
        <v>4.3686424100156493</v>
      </c>
    </row>
    <row r="10" spans="1:6">
      <c r="A10" s="11" t="s">
        <v>63</v>
      </c>
      <c r="B10" s="11">
        <v>2020</v>
      </c>
      <c r="C10" s="11">
        <v>2021</v>
      </c>
      <c r="D10" s="11">
        <v>2022</v>
      </c>
      <c r="E10" s="11">
        <v>2023</v>
      </c>
      <c r="F10" s="11">
        <v>2024</v>
      </c>
    </row>
    <row r="11" spans="1:6">
      <c r="A11" s="4" t="s">
        <v>82</v>
      </c>
      <c r="B11" s="4">
        <f>(SOIC!B52)/((-SOIC!B19)+(SOFP!B36))</f>
        <v>0.22988706146723234</v>
      </c>
      <c r="C11" s="4">
        <f>(SOIC!C52)/((-SOIC!C19)+(SOFP!C36))</f>
        <v>0.4168592558354518</v>
      </c>
      <c r="D11" s="4">
        <f>(SOIC!D52)/((-SOIC!D19)+(SOFP!D36))</f>
        <v>0.73037882907377194</v>
      </c>
      <c r="E11" s="4">
        <f>(SOIC!E52)/((-SOIC!E19)+(SOFP!E36))</f>
        <v>0.75178274564703829</v>
      </c>
      <c r="F11" s="4">
        <f>(SOIC!F52)/((-SOIC!F19)+(SOFP!F36))</f>
        <v>0.45885822558012318</v>
      </c>
    </row>
    <row r="12" spans="1:6">
      <c r="A12" s="4" t="s">
        <v>351</v>
      </c>
      <c r="B12" s="4">
        <f>SOCF!B21/SOFP!B35</f>
        <v>0.31960523207113556</v>
      </c>
      <c r="C12" s="4">
        <f>SOCF!C21/SOFP!C35</f>
        <v>0.59219303731498851</v>
      </c>
      <c r="D12" s="4">
        <f>SOCF!D21/SOFP!D35</f>
        <v>0.43910651048760557</v>
      </c>
      <c r="E12" s="4">
        <f>SOCF!E21/SOFP!E35</f>
        <v>0.48189559712681412</v>
      </c>
      <c r="F12" s="4">
        <f>SOCF!F21/SOFP!F35</f>
        <v>0.68600789063216805</v>
      </c>
    </row>
    <row r="13" spans="1:6">
      <c r="A13" s="4" t="s">
        <v>352</v>
      </c>
      <c r="B13" s="4">
        <f>SOCF!B21/SOIC!B34</f>
        <v>-0.32378123742071652</v>
      </c>
      <c r="C13" s="4">
        <f>SOCF!C21/SOIC!C34</f>
        <v>3.236707178123813</v>
      </c>
      <c r="D13" s="4">
        <f>SOCF!D21/SOIC!D34</f>
        <v>0.96705221731618352</v>
      </c>
      <c r="E13" s="4">
        <f>SOCF!E21/SOIC!E34</f>
        <v>5.2690453230472514</v>
      </c>
      <c r="F13" s="4">
        <f>SOCF!F21/SOIC!F34</f>
        <v>-0.84493163069273369</v>
      </c>
    </row>
    <row r="14" spans="1:6">
      <c r="A14" s="4" t="s">
        <v>353</v>
      </c>
      <c r="B14" s="4">
        <f>SOCF!B21/SOFP!B57</f>
        <v>0.14346176650646664</v>
      </c>
      <c r="C14" s="4">
        <f>SOCF!C21/SOFP!C57</f>
        <v>0.28737260059179082</v>
      </c>
      <c r="D14" s="4">
        <f>SOCF!D21/SOFP!D57</f>
        <v>0.33271137603923284</v>
      </c>
      <c r="E14" s="4">
        <f>SOCF!E21/SOFP!E57</f>
        <v>0.34975071655654572</v>
      </c>
      <c r="F14" s="4">
        <f>SOCF!F21/SOFP!F57</f>
        <v>0.27660093966186972</v>
      </c>
    </row>
    <row r="15" spans="1:6">
      <c r="A15" s="4" t="s">
        <v>354</v>
      </c>
      <c r="B15" s="4">
        <f>SOCF!B21/SOIC!B5</f>
        <v>0.15633486896363341</v>
      </c>
      <c r="C15" s="4">
        <f>SOCF!C21/SOIC!C5</f>
        <v>0.16883264820959834</v>
      </c>
      <c r="D15" s="4">
        <f>SOCF!D21/SOIC!D5</f>
        <v>0.14775285430400445</v>
      </c>
      <c r="E15" s="4">
        <f>SOCF!E21/SOIC!E5</f>
        <v>0.16975035899701757</v>
      </c>
      <c r="F15" s="4">
        <f>SOCF!F21/SOIC!F5</f>
        <v>0.13588696925968063</v>
      </c>
    </row>
    <row r="16" spans="1:6">
      <c r="A16" s="4" t="s">
        <v>355</v>
      </c>
      <c r="B16" s="4">
        <f>SOCF!B21+SOCF!B29+SOCF!B39/((-SOCF!B23)+(-SOCF!B26)+(-SOCF!B28))</f>
        <v>-8788999.4084809329</v>
      </c>
      <c r="C16" s="4">
        <f>SOCF!C21+SOCF!C29+SOCF!C39/((-SOCF!C23)+(-SOCF!C26)+(-SOCF!C28))</f>
        <v>59181996.78992568</v>
      </c>
      <c r="D16" s="4">
        <f>SOCF!D21+SOCF!D29+SOCF!D39/((-SOCF!D23)+(-SOCF!D26)+(-SOCF!D28))</f>
        <v>25221999.358038425</v>
      </c>
      <c r="E16" s="4">
        <f>SOCF!E21+SOCF!E29+SOCF!E39/((-SOCF!E23)+(-SOCF!E26)+(-SOCF!E28))</f>
        <v>20941999.564497124</v>
      </c>
      <c r="F16" s="4">
        <f>SOCF!F21+SOCF!F29+SOCF!F39/((-SOCF!F23)+(-SOCF!F26)+(-SOCF!F28))</f>
        <v>6726999.5225652428</v>
      </c>
    </row>
    <row r="17" spans="1:6">
      <c r="A17" s="4" t="s">
        <v>356</v>
      </c>
      <c r="B17" s="4">
        <f>SOCF!B21+SOCF!B29+SOCF!B39/ABS(SOCF!B23)</f>
        <v>-8788999.2863565236</v>
      </c>
      <c r="C17" s="4">
        <f>SOCF!C21+SOCF!C29+SOCF!C39/ABS(SOCF!C23)</f>
        <v>59181996.438370392</v>
      </c>
      <c r="D17" s="4">
        <f>SOCF!D21+SOCF!D29+SOCF!D39/ABS(SOCF!D23)</f>
        <v>25221999.351741422</v>
      </c>
      <c r="E17" s="4">
        <f>SOCF!E21+SOCF!E29+SOCF!E39/ABS(SOCF!E23)</f>
        <v>20941999.591030397</v>
      </c>
      <c r="F17" s="4">
        <f>SOCF!F21+SOCF!F29+SOCF!F39/ABS(SOCF!F23)</f>
        <v>6726999.5145640755</v>
      </c>
    </row>
    <row r="18" spans="1:6">
      <c r="A18" s="4" t="s">
        <v>357</v>
      </c>
      <c r="B18" s="4">
        <f>SOCF!B21+SOCF!B29+SOCF!B39/-SOCF!B28</f>
        <v>-8788996.5343374331</v>
      </c>
      <c r="C18" s="4">
        <f>SOCF!C21+SOCF!C29+SOCF!C39/-SOCF!C28</f>
        <v>59181967.424022347</v>
      </c>
      <c r="D18" s="4">
        <f>SOCF!D21+SOCF!D29+SOCF!D39/-SOCF!D28</f>
        <v>25221859.794392522</v>
      </c>
      <c r="E18" s="4">
        <f>SOCF!E21+SOCF!E29+SOCF!E39/-SOCF!E28</f>
        <v>20942006.283</v>
      </c>
      <c r="F18" s="4">
        <f>SOCF!F21+SOCF!F29+SOCF!F39/-SOCF!F28</f>
        <v>6726965.1575178998</v>
      </c>
    </row>
    <row r="19" spans="1:6">
      <c r="A19" s="4" t="s">
        <v>83</v>
      </c>
      <c r="B19" s="4">
        <f>(SOCF!B21-SOCF!B45)/SOIC!B30</f>
        <v>-0.19108759414066792</v>
      </c>
      <c r="C19" s="4">
        <f>(SOCF!C21-SOCF!C45)/SOIC!C30</f>
        <v>2.6048334421946442</v>
      </c>
      <c r="D19" s="4">
        <f>(SOCF!D21-SOCF!D45)/SOIC!D30</f>
        <v>0.62694225887182442</v>
      </c>
      <c r="E19" s="4">
        <f>(SOCF!E21-SOCF!E45)/SOIC!E30</f>
        <v>2.9001653575857791</v>
      </c>
      <c r="F19" s="4">
        <f>(SOCF!F21-SOCF!F45)/SOIC!F30</f>
        <v>-0.83307250912884712</v>
      </c>
    </row>
    <row r="20" spans="1:6">
      <c r="A20" s="4" t="s">
        <v>84</v>
      </c>
      <c r="B20" s="4">
        <f>SOCF!B21/SOFP!B49</f>
        <v>0.19087719748327636</v>
      </c>
      <c r="C20" s="4">
        <f>SOCF!C21/SOFP!C49</f>
        <v>0.22357694250054108</v>
      </c>
      <c r="D20" s="4">
        <f>SOCF!D21/SOFP!D49</f>
        <v>0.20859019549993013</v>
      </c>
      <c r="E20" s="4">
        <f>SOCF!E21/SOFP!E49</f>
        <v>0.24402056330759611</v>
      </c>
      <c r="F20" s="4">
        <f>SOCF!F21/SOFP!F49</f>
        <v>0.2535763462595047</v>
      </c>
    </row>
    <row r="21" spans="1:6">
      <c r="A21" s="4" t="s">
        <v>85</v>
      </c>
      <c r="B21" s="4">
        <f>SOCF!B21/ABS(SOCF!B36)</f>
        <v>0.94861823861281991</v>
      </c>
      <c r="C21" s="4">
        <f>SOCF!C21/ABS(SOCF!C36)</f>
        <v>0.40422857549418362</v>
      </c>
      <c r="D21" s="4">
        <f>SOCF!D21/ABS(SOCF!D36)</f>
        <v>2.6742982281505077</v>
      </c>
      <c r="E21" s="4">
        <f>SOCF!E21/ABS(SOCF!E36)</f>
        <v>0.51421042725390553</v>
      </c>
      <c r="F21" s="4">
        <f>SOCF!F21/ABS(SOCF!F36)</f>
        <v>0.92651614662073412</v>
      </c>
    </row>
    <row r="22" spans="1:6">
      <c r="A22" s="4" t="s">
        <v>86</v>
      </c>
      <c r="B22" s="4">
        <f>SOCF!B21/ABS(SOCF!B38)</f>
        <v>960.0322580645161</v>
      </c>
      <c r="C22" s="4">
        <f>SOCF!C21/ABS(SOCF!C38)</f>
        <v>741.06521739130437</v>
      </c>
      <c r="D22" s="4">
        <f>SOCF!D21/ABS(SOCF!D38)</f>
        <v>822.42857142857144</v>
      </c>
      <c r="E22" s="4">
        <f>SOCF!E21/ABS(SOCF!E38)</f>
        <v>3.5753962483641124</v>
      </c>
      <c r="F22" s="4">
        <f>SOCF!F21/ABS(SOCF!F38)</f>
        <v>4.8976811214463511</v>
      </c>
    </row>
    <row r="23" spans="1:6">
      <c r="A23" s="4" t="s">
        <v>87</v>
      </c>
      <c r="B23" s="4">
        <f>SOIC!B54/ABS(SOIC!B19)</f>
        <v>1.8113438520130576</v>
      </c>
      <c r="C23" s="4">
        <f>SOIC!C54/ABS(SOIC!C19)</f>
        <v>3.8205930561764267</v>
      </c>
      <c r="D23" s="4">
        <f>SOIC!D54/ABS(SOIC!D19)</f>
        <v>8.7316354816354824</v>
      </c>
      <c r="E23" s="4">
        <f>SOIC!E54/ABS(SOIC!E19)</f>
        <v>5.8923515856468782</v>
      </c>
      <c r="F23" s="4">
        <f>SOIC!F54/ABS(SOIC!F19)</f>
        <v>4.3686424100156493</v>
      </c>
    </row>
    <row r="24" spans="1:6">
      <c r="A24" s="4" t="s">
        <v>88</v>
      </c>
      <c r="B24" s="4">
        <f>((-SOCF!B23)+(-SOCF!B26))/SOCF!B21</f>
        <v>1.1815463190080979</v>
      </c>
      <c r="C24" s="4">
        <f>((-SOCF!C23)+(-SOCF!C26))/SOCF!C21</f>
        <v>0.48036023350640972</v>
      </c>
      <c r="D24" s="4">
        <f>((-SOCF!D23)+(-SOCF!D26))/SOCF!D21</f>
        <v>0.57723516712573508</v>
      </c>
      <c r="E24" s="4">
        <f>((-SOCF!E23)+(-SOCF!E26))/SOCF!E21</f>
        <v>0.62741987961607293</v>
      </c>
      <c r="F24" s="4">
        <f>((-SOCF!F23)+(-SOCF!F26))/SOCF!F21</f>
        <v>0.80673550181896003</v>
      </c>
    </row>
    <row r="26" spans="1:6">
      <c r="A26" s="11" t="s">
        <v>105</v>
      </c>
      <c r="B26" s="11">
        <v>2020</v>
      </c>
      <c r="C26" s="11">
        <v>2021</v>
      </c>
      <c r="D26" s="11">
        <v>2022</v>
      </c>
      <c r="E26" s="11">
        <v>2023</v>
      </c>
      <c r="F26" s="11">
        <v>2024</v>
      </c>
    </row>
    <row r="27" spans="1:6">
      <c r="A27" s="4" t="s">
        <v>74</v>
      </c>
      <c r="B27" s="4">
        <f>(SOIC!B34/SOFP!B25)*100</f>
        <v>-19.369909490343179</v>
      </c>
      <c r="C27" s="4">
        <f>(SOIC!C34/SOFP!C25)*100</f>
        <v>2.9195299700895094</v>
      </c>
      <c r="D27" s="4">
        <f>(SOIC!D34/SOFP!D25)*100</f>
        <v>9.9325941251060659</v>
      </c>
      <c r="E27" s="4">
        <f>(SOIC!E34/SOFP!E25)*100</f>
        <v>2.1512638358096803</v>
      </c>
      <c r="F27" s="4">
        <f>(SOIC!F34/SOFP!F25)*100</f>
        <v>-12.12258205929092</v>
      </c>
    </row>
    <row r="28" spans="1:6">
      <c r="A28" s="4" t="s">
        <v>75</v>
      </c>
      <c r="B28" s="4">
        <f>(SOIC!B34/SOFP!B25) *100</f>
        <v>-19.369909490343179</v>
      </c>
      <c r="C28" s="4">
        <f>SOIC!C34/((SOFP!B25+SOFP!C25)/2) *100</f>
        <v>2.521795138863947</v>
      </c>
      <c r="D28" s="4">
        <f>SOIC!D34/((SOFP!C25+SOFP!D25)/2) *100</f>
        <v>10.681143317044539</v>
      </c>
      <c r="E28" s="4">
        <f>SOIC!E34/((SOFP!D25+SOFP!E25)/2) *100</f>
        <v>2.1872868783879746</v>
      </c>
      <c r="F28" s="4">
        <f>SOIC!F34/((SOFP!E25+SOFP!F25)/2) *100</f>
        <v>-11.077617179382537</v>
      </c>
    </row>
    <row r="29" spans="1:6">
      <c r="A29" s="4" t="s">
        <v>76</v>
      </c>
      <c r="B29" s="4" t="s">
        <v>114</v>
      </c>
      <c r="C29" s="4">
        <f>SOIC!C34/((SOFP!B49+SOFP!C49)/2) *100</f>
        <v>6.830356563809227</v>
      </c>
      <c r="D29" s="4">
        <f>SOIC!D34/((SOFP!C49+SOFP!D49)/2) *100</f>
        <v>24.1109966788942</v>
      </c>
      <c r="E29" s="4">
        <f>SOIC!E34/((SOFP!D49+SOFP!E49)/2) *100</f>
        <v>4.728909786912781</v>
      </c>
      <c r="F29" s="4">
        <f>SOIC!F34/((SOFP!E49+SOFP!F49)/2) *100</f>
        <v>-25.35886127278615</v>
      </c>
    </row>
    <row r="30" spans="1:6">
      <c r="A30" s="4" t="s">
        <v>77</v>
      </c>
      <c r="B30" s="4">
        <f>(SOIC!B54/SOFP!B49)*100</f>
        <v>8.5410827555686684</v>
      </c>
      <c r="C30" s="4">
        <f>(SOIC!C54/SOFP!C49)*100</f>
        <v>16.81631261026687</v>
      </c>
      <c r="D30" s="4">
        <f>(SOIC!D54/SOFP!D49)*100</f>
        <v>26.086843998612814</v>
      </c>
      <c r="E30" s="4">
        <f>(SOIC!E54/SOFP!E49)*100</f>
        <v>26.645461582739529</v>
      </c>
      <c r="F30" s="4">
        <f>(SOIC!F54/SOFP!F49)*100</f>
        <v>30.296350057994804</v>
      </c>
    </row>
    <row r="31" spans="1:6">
      <c r="A31" s="4" t="s">
        <v>78</v>
      </c>
      <c r="B31" s="4" t="s">
        <v>114</v>
      </c>
      <c r="C31" s="4">
        <f>SOIC!C34/((SOFP!B47+SOFP!C47)/2)*100</f>
        <v>7.0811692131847446</v>
      </c>
      <c r="D31" s="4">
        <f>SOIC!D34/((SOFP!C47+SOFP!D47)/2)*100</f>
        <v>24.870491059705412</v>
      </c>
      <c r="E31" s="4">
        <f>SOIC!E34/((SOFP!D47+SOFP!E47)/2)*100</f>
        <v>4.8416842400143185</v>
      </c>
      <c r="F31" s="4">
        <f>SOIC!F34/((SOFP!E47+SOFP!F47)/2)*100</f>
        <v>-26.0334383614438</v>
      </c>
    </row>
    <row r="32" spans="1:6">
      <c r="A32" s="4" t="s">
        <v>79</v>
      </c>
      <c r="B32" s="4" t="s">
        <v>114</v>
      </c>
      <c r="C32" s="4">
        <f>(SOIC!C5/(SOFP!B25+SOFP!C25)/2)*100</f>
        <v>12.086395188188842</v>
      </c>
      <c r="D32" s="4">
        <f>(SOIC!D5/(SOFP!C25+SOFP!D25)/2)*100</f>
        <v>17.47719760960975</v>
      </c>
      <c r="E32" s="4">
        <f>(SOIC!E5/(SOFP!D25+SOFP!E25)/2)*100</f>
        <v>16.973327427447838</v>
      </c>
      <c r="F32" s="4">
        <f>(SOIC!F5/(SOFP!E25+SOFP!F25)/2)*100</f>
        <v>17.219879872511637</v>
      </c>
    </row>
    <row r="33" spans="1:9">
      <c r="A33" s="4" t="s">
        <v>80</v>
      </c>
      <c r="B33" s="4">
        <f>(SOFP!B57/SOCF!B21)*100</f>
        <v>697.04983031484153</v>
      </c>
      <c r="C33" s="4">
        <f>(SOFP!C57/SOCF!C21)*100</f>
        <v>347.98028689606622</v>
      </c>
      <c r="D33" s="4">
        <f>(SOFP!D57/SOCF!D21)*100</f>
        <v>300.56080796049531</v>
      </c>
      <c r="E33" s="4">
        <f>(SOFP!E57/SOCF!E21)*100</f>
        <v>285.91792744428176</v>
      </c>
      <c r="F33" s="4">
        <f>(SOFP!F57/SOCF!F21)*100</f>
        <v>361.53167130323129</v>
      </c>
    </row>
    <row r="34" spans="1:9">
      <c r="A34" s="4" t="s">
        <v>81</v>
      </c>
      <c r="B34" s="4">
        <f>(SOIC!B5/SOFP!B72)*100</f>
        <v>620694.48972937721</v>
      </c>
      <c r="C34" s="4">
        <f>(SOIC!C5/SOFP!C72)*100</f>
        <v>702906.87554395129</v>
      </c>
      <c r="D34" s="4">
        <f>(SOIC!D5/SOFP!D72)*100</f>
        <v>964482.4781640087</v>
      </c>
      <c r="E34" s="4">
        <f>(SOIC!E5/SOFP!E72)*100</f>
        <v>1010908.3295529889</v>
      </c>
      <c r="F34" s="4">
        <f>(SOIC!F5/SOFP!F72)*100</f>
        <v>993969.94002456835</v>
      </c>
    </row>
    <row r="36" spans="1:9">
      <c r="A36" s="11" t="s">
        <v>64</v>
      </c>
      <c r="B36" s="11">
        <v>2020</v>
      </c>
      <c r="C36" s="11">
        <v>2021</v>
      </c>
      <c r="D36" s="11">
        <v>2022</v>
      </c>
      <c r="E36" s="11">
        <v>2023</v>
      </c>
      <c r="F36" s="11">
        <v>2024</v>
      </c>
    </row>
    <row r="37" spans="1:9">
      <c r="A37" s="4" t="s">
        <v>65</v>
      </c>
      <c r="B37" s="12">
        <f>SOIC!B7/SOFP!B13</f>
        <v>3.6186468112657817</v>
      </c>
      <c r="C37" s="12">
        <f>SOIC!C7/SOFP!C13</f>
        <v>3.2776881178131934</v>
      </c>
      <c r="D37" s="12">
        <f>SOIC!D7/SOFP!D13</f>
        <v>3.3403308197518853</v>
      </c>
      <c r="E37" s="12">
        <f>SOIC!E7/SOFP!E13</f>
        <v>3.9657149626821466</v>
      </c>
      <c r="F37" s="12">
        <f>SOIC!F7/SOFP!F13</f>
        <v>3.7673567621994648</v>
      </c>
    </row>
    <row r="38" spans="1:9">
      <c r="A38" s="4" t="s">
        <v>68</v>
      </c>
      <c r="B38" s="12">
        <f>SOIC!B5/SOFP!B19</f>
        <v>0.78839646982328404</v>
      </c>
      <c r="C38" s="12">
        <f>SOIC!C5/SOFP!C19</f>
        <v>0.95726422787354692</v>
      </c>
      <c r="D38" s="12">
        <f>SOIC!D5/SOFP!D19</f>
        <v>1.1658950914135002</v>
      </c>
      <c r="E38" s="12">
        <f>SOIC!E5/SOFP!E19</f>
        <v>1.2215367878662657</v>
      </c>
      <c r="F38" s="12">
        <f>SOIC!F5/SOFP!F19</f>
        <v>1.5636637490053427</v>
      </c>
    </row>
    <row r="39" spans="1:9">
      <c r="A39" s="4" t="s">
        <v>67</v>
      </c>
      <c r="B39" s="12">
        <f>SOIC!B5/SOFP!B25</f>
        <v>0.40116535134394721</v>
      </c>
      <c r="C39" s="12">
        <f>SOIC!C5/SOFP!C25</f>
        <v>0.55970594024000464</v>
      </c>
      <c r="D39" s="12">
        <f>SOIC!D5/SOFP!D25</f>
        <v>0.65009486399649141</v>
      </c>
      <c r="E39" s="12">
        <f>SOIC!E5/SOFP!E25</f>
        <v>0.66775155703280953</v>
      </c>
      <c r="F39" s="12">
        <f>SOIC!F5/SOFP!F25</f>
        <v>0.75377006959285442</v>
      </c>
    </row>
    <row r="40" spans="1:9">
      <c r="A40" s="4" t="s">
        <v>66</v>
      </c>
      <c r="B40" s="4">
        <f>(SOFP!B12/SOIC!B5)*365</f>
        <v>55.43248041940042</v>
      </c>
      <c r="C40" s="4">
        <f>(((SOFP!B12+SOFP!C12)/2)/SOIC!C5)*365</f>
        <v>53.415890743400524</v>
      </c>
      <c r="D40" s="4">
        <f>(((SOFP!C12+SOFP!D12)/2)/SOIC!D5)*365</f>
        <v>50.501217249748848</v>
      </c>
      <c r="E40" s="4">
        <f>(((SOFP!D12+SOFP!E12)/2)/SOIC!E5)*365</f>
        <v>49.828794667513534</v>
      </c>
      <c r="F40" s="4">
        <f>(((SOFP!E12+SOFP!F12)/2)/SOIC!F5)*365</f>
        <v>45.93495898019345</v>
      </c>
    </row>
    <row r="41" spans="1:9">
      <c r="A41" s="4" t="s">
        <v>80</v>
      </c>
      <c r="B41" s="4">
        <f>SOFP!B57/SOCF!B21</f>
        <v>6.9704983031484158</v>
      </c>
      <c r="C41" s="4">
        <f>SOFP!C57/SOCF!C21</f>
        <v>3.4798028689606619</v>
      </c>
      <c r="D41" s="4">
        <f>SOFP!D57/SOCF!D21</f>
        <v>3.0056080796049529</v>
      </c>
      <c r="E41" s="4">
        <f>SOFP!E57/SOCF!E21</f>
        <v>2.8591792744428175</v>
      </c>
      <c r="F41" s="4">
        <f>SOFP!F57/SOCF!F21</f>
        <v>3.6153167130323132</v>
      </c>
    </row>
    <row r="43" spans="1:9">
      <c r="A43" s="11" t="s">
        <v>71</v>
      </c>
      <c r="B43" s="11">
        <v>2020</v>
      </c>
      <c r="C43" s="11">
        <v>2021</v>
      </c>
      <c r="D43" s="11">
        <v>2022</v>
      </c>
      <c r="E43" s="11">
        <v>2023</v>
      </c>
      <c r="F43" s="11">
        <v>2024</v>
      </c>
      <c r="I43" s="4" t="s">
        <v>69</v>
      </c>
    </row>
    <row r="44" spans="1:9">
      <c r="A44" s="4" t="s">
        <v>108</v>
      </c>
      <c r="B44" s="4">
        <f>SOFP!B25/SOFP!B49</f>
        <v>3.0435103292136199</v>
      </c>
      <c r="C44" s="4">
        <f>SOFP!C25/SOFP!C49</f>
        <v>2.3659777924982457</v>
      </c>
      <c r="D44" s="4">
        <f>SOFP!D25/SOFP!D49</f>
        <v>2.171607219573803</v>
      </c>
      <c r="E44" s="4">
        <f>SOFP!E25/SOFP!E49</f>
        <v>2.1527857724142039</v>
      </c>
      <c r="F44" s="4">
        <f>SOFP!F25/SOFP!F49</f>
        <v>2.4756659227956885</v>
      </c>
    </row>
    <row r="45" spans="1:9">
      <c r="A45" s="4" t="s">
        <v>99</v>
      </c>
      <c r="B45" s="4">
        <f>SOFP!B42/SOFP!B25</f>
        <v>0.67143203346433877</v>
      </c>
      <c r="C45" s="4">
        <f>SOFP!C42/SOFP!C25</f>
        <v>0.57734176408135429</v>
      </c>
      <c r="D45" s="4">
        <f>SOFP!D42/SOFP!D25</f>
        <v>0.53951156959394397</v>
      </c>
      <c r="E45" s="4">
        <f>SOFP!E42/SOFP!E25</f>
        <v>0.53548559600588241</v>
      </c>
      <c r="F45" s="4">
        <f>SOFP!F42/SOFP!F25</f>
        <v>0.59606827771384729</v>
      </c>
    </row>
    <row r="46" spans="1:9">
      <c r="A46" s="4" t="s">
        <v>100</v>
      </c>
      <c r="B46" s="4">
        <f>SOFP!B57/SOFP!B49</f>
        <v>1.330509181166903</v>
      </c>
      <c r="C46" s="4">
        <f>SOFP!C57/SOFP!C49</f>
        <v>0.77800368594683578</v>
      </c>
      <c r="D46" s="4">
        <f>SOFP!D57/SOFP!D49</f>
        <v>0.62694037692096671</v>
      </c>
      <c r="E46" s="4">
        <f>SOFP!E57/SOFP!E49</f>
        <v>0.6976985371469403</v>
      </c>
      <c r="F46" s="4">
        <f>SOFP!F57/SOFP!F49</f>
        <v>0.91675880266165632</v>
      </c>
    </row>
    <row r="47" spans="1:9">
      <c r="A47" s="4" t="s">
        <v>101</v>
      </c>
      <c r="B47" s="4">
        <f>SOIC!B54/ABS(SOIC!B19)</f>
        <v>1.8113438520130576</v>
      </c>
      <c r="C47" s="4">
        <f>SOIC!C54/ABS(SOIC!C19)</f>
        <v>3.8205930561764267</v>
      </c>
      <c r="D47" s="4">
        <f>SOIC!D54/ABS(SOIC!D19)</f>
        <v>8.7316354816354824</v>
      </c>
      <c r="E47" s="4">
        <f>SOIC!E54/ABS(SOIC!E19)</f>
        <v>5.8923515856468782</v>
      </c>
      <c r="F47" s="4">
        <f>SOIC!F54/ABS(SOIC!F19)</f>
        <v>4.3686424100156493</v>
      </c>
    </row>
    <row r="48" spans="1:9">
      <c r="A48" s="4" t="s">
        <v>102</v>
      </c>
      <c r="B48" s="12">
        <f>SOFP!B49/SOFP!B25</f>
        <v>0.32856796653566123</v>
      </c>
      <c r="C48" s="12">
        <f>SOFP!C49/SOFP!C25</f>
        <v>0.42265823591864571</v>
      </c>
      <c r="D48" s="12">
        <f>SOFP!D49/SOFP!D25</f>
        <v>0.46048843040605603</v>
      </c>
      <c r="E48" s="12">
        <f>SOFP!E49/SOFP!E25</f>
        <v>0.46451440399411764</v>
      </c>
      <c r="F48" s="12">
        <f>SOFP!F49/SOFP!F25</f>
        <v>0.40393172228615265</v>
      </c>
    </row>
    <row r="49" spans="1:6">
      <c r="A49" s="4" t="s">
        <v>103</v>
      </c>
      <c r="B49" s="12">
        <f>SOIC!B30/SOIC!B54</f>
        <v>-8.8839077870391225</v>
      </c>
      <c r="C49" s="12">
        <f>SOIC!C30/SOIC!C54</f>
        <v>0.41797971918876753</v>
      </c>
      <c r="D49" s="12">
        <f>SOIC!D30/SOIC!D54</f>
        <v>1.1020258338459097</v>
      </c>
      <c r="E49" s="12">
        <f>SOIC!E30/SOIC!E54</f>
        <v>0.27029442985641655</v>
      </c>
      <c r="F49" s="12">
        <f>SOIC!F30/SOIC!F54</f>
        <v>-0.7725512145975596</v>
      </c>
    </row>
    <row r="50" spans="1:6">
      <c r="A50" s="4" t="s">
        <v>109</v>
      </c>
      <c r="B50" s="12">
        <f>SOFP!B25/SOFP!B49</f>
        <v>3.0435103292136199</v>
      </c>
      <c r="C50" s="12">
        <f>SOFP!C25/SOFP!C49</f>
        <v>2.3659777924982457</v>
      </c>
      <c r="D50" s="12">
        <f>SOFP!D25/SOFP!D49</f>
        <v>2.171607219573803</v>
      </c>
      <c r="E50" s="12">
        <f>SOFP!E25/SOFP!E49</f>
        <v>2.1527857724142039</v>
      </c>
      <c r="F50" s="12">
        <f>SOFP!F25/SOFP!F49</f>
        <v>2.4756659227956885</v>
      </c>
    </row>
    <row r="52" spans="1:6">
      <c r="A52" s="11" t="s">
        <v>104</v>
      </c>
      <c r="B52" s="11">
        <v>2020</v>
      </c>
      <c r="C52" s="11">
        <v>2021</v>
      </c>
      <c r="D52" s="11">
        <v>2022</v>
      </c>
      <c r="E52" s="11">
        <v>2023</v>
      </c>
      <c r="F52" s="11">
        <v>2024</v>
      </c>
    </row>
    <row r="53" spans="1:6">
      <c r="A53" s="4" t="s">
        <v>110</v>
      </c>
      <c r="B53" s="4">
        <f>SOFP!B49</f>
        <v>155917000</v>
      </c>
      <c r="C53" s="4">
        <f>SOFP!C49</f>
        <v>152471000</v>
      </c>
      <c r="D53" s="4">
        <f>SOFP!D49</f>
        <v>193197000</v>
      </c>
      <c r="E53" s="4">
        <f>SOFP!E49</f>
        <v>201524000</v>
      </c>
      <c r="F53" s="4">
        <f>SOFP!F49</f>
        <v>147427000</v>
      </c>
    </row>
    <row r="54" spans="1:6">
      <c r="A54" s="4" t="s">
        <v>111</v>
      </c>
      <c r="B54" s="4">
        <f>SOFP!B53</f>
        <v>627887189</v>
      </c>
      <c r="C54" s="4">
        <f>SOFP!C53</f>
        <v>629765768</v>
      </c>
      <c r="D54" s="4">
        <f>SOFP!D53</f>
        <v>631203721</v>
      </c>
      <c r="E54" s="4">
        <f>SOFP!E53</f>
        <v>630293924</v>
      </c>
      <c r="F54" s="4">
        <f>SOFP!F53</f>
        <v>635419278</v>
      </c>
    </row>
    <row r="55" spans="1:6">
      <c r="A55" s="4" t="s">
        <v>72</v>
      </c>
      <c r="B55" s="4">
        <f>(SOIC!B34/SOFP!B53)*100</f>
        <v>-14.639094667051728</v>
      </c>
      <c r="C55" s="4">
        <f>(SOIC!C34/SOFP!C53)*100</f>
        <v>1.6723678127897226</v>
      </c>
      <c r="D55" s="4">
        <f>(SOIC!D34/SOFP!D53)*100</f>
        <v>6.6019889638768463</v>
      </c>
      <c r="E55" s="4">
        <f>(SOIC!E34/SOFP!E53)*100</f>
        <v>1.480737739112332</v>
      </c>
      <c r="F55" s="4">
        <f>(SOIC!F34/SOFP!F53)*100</f>
        <v>-6.9631189250761132</v>
      </c>
    </row>
    <row r="56" spans="1:6">
      <c r="A56" s="4" t="s">
        <v>73</v>
      </c>
      <c r="B56" s="4">
        <f>(B55/8217)*100</f>
        <v>-0.1781561965078706</v>
      </c>
      <c r="C56" s="4">
        <f t="shared" ref="C56:F56" si="0">(C55/8217)*100</f>
        <v>2.0352535144088142E-2</v>
      </c>
      <c r="D56" s="4">
        <f t="shared" si="0"/>
        <v>8.0345490615514742E-2</v>
      </c>
      <c r="E56" s="4">
        <f t="shared" si="0"/>
        <v>1.8020417903277741E-2</v>
      </c>
      <c r="F56" s="4">
        <f t="shared" si="0"/>
        <v>-8.4740403128588451E-2</v>
      </c>
    </row>
    <row r="58" spans="1:6">
      <c r="A58" s="11" t="s">
        <v>70</v>
      </c>
      <c r="B58" s="11">
        <v>2020</v>
      </c>
      <c r="C58" s="11">
        <v>2021</v>
      </c>
      <c r="D58" s="11">
        <v>2022</v>
      </c>
      <c r="E58" s="11">
        <v>2023</v>
      </c>
      <c r="F58" s="11">
        <v>2024</v>
      </c>
    </row>
    <row r="59" spans="1:6">
      <c r="A59" s="4" t="s">
        <v>94</v>
      </c>
      <c r="B59" s="4">
        <f>(SOFP!I53+SOFP!B57-SOFP!B7)/SOFP!B7</f>
        <v>2394.4096371743572</v>
      </c>
      <c r="C59" s="4">
        <f>(SOFP!J53+SOFP!C57-SOFP!C7)/SOFP!C7</f>
        <v>4398.9186091281099</v>
      </c>
      <c r="D59" s="4">
        <f>(SOFP!K53+SOFP!D57-SOFP!D7)/SOFP!D7</f>
        <v>5440.0505800018545</v>
      </c>
      <c r="E59" s="4">
        <f>(SOFP!L53+SOFP!E57-SOFP!E7)/SOFP!E7</f>
        <v>2727.9797817794756</v>
      </c>
      <c r="F59" s="4">
        <f>(SOFP!M53+SOFP!F57-SOFP!F7)/SOFP!F7</f>
        <v>1934.1522676773241</v>
      </c>
    </row>
    <row r="60" spans="1:6">
      <c r="A60" s="4" t="s">
        <v>95</v>
      </c>
      <c r="B60" s="4">
        <f>(SOFP!I53+SOFP!B57-SOFP!B7)/'Financial Analysis'!B54</f>
        <v>132.47506533502468</v>
      </c>
      <c r="C60" s="4">
        <f>(SOFP!J53+SOFP!C57-SOFP!C7)/'Financial Analysis'!C54</f>
        <v>218.14876905421127</v>
      </c>
      <c r="D60" s="4">
        <f>(SOFP!K53+SOFP!D57-SOFP!D7)/'Financial Analysis'!D54</f>
        <v>371.80354648333895</v>
      </c>
      <c r="E60" s="4">
        <f>(SOFP!L53+SOFP!E57-SOFP!E7)/'Financial Analysis'!E54</f>
        <v>233.39751838102757</v>
      </c>
      <c r="F60" s="4">
        <f>(SOFP!M53+SOFP!F57-SOFP!F7)/'Financial Analysis'!F54</f>
        <v>138.14127994398055</v>
      </c>
    </row>
    <row r="61" spans="1:6">
      <c r="A61" s="4" t="s">
        <v>96</v>
      </c>
      <c r="B61" s="4">
        <f>(SOFP!I53+SOFP!B57-SOFP!B7)/SOIC!B52</f>
        <v>2336.434268301452</v>
      </c>
      <c r="C61" s="4">
        <f>(SOFP!J53+SOFP!C57-SOFP!C7)/SOIC!C52</f>
        <v>3173.5418591286671</v>
      </c>
      <c r="D61" s="4">
        <f>(SOFP!K53+SOFP!D57-SOFP!D7)/SOIC!D52</f>
        <v>3640.0884418240475</v>
      </c>
      <c r="E61" s="4">
        <f>(SOFP!L53+SOFP!E57-SOFP!E7)/SOIC!E52</f>
        <v>2140.1725084341765</v>
      </c>
      <c r="F61" s="4">
        <f>(SOFP!M53+SOFP!F57-SOFP!F7)/SOIC!F52</f>
        <v>1516.571336132276</v>
      </c>
    </row>
    <row r="62" spans="1:6">
      <c r="A62" s="4" t="s">
        <v>97</v>
      </c>
      <c r="B62" s="4">
        <f>(SOFP!I53+SOFP!B57-SOFP!B7)/SOIC!B34</f>
        <v>-904.94028727874047</v>
      </c>
      <c r="C62" s="4">
        <f>(SOFP!J53+SOFP!C57-SOFP!C7)/SOIC!C34</f>
        <v>13044.305647709836</v>
      </c>
      <c r="D62" s="4">
        <f>(SOFP!K53+SOFP!D57-SOFP!D7)/SOIC!D34</f>
        <v>5631.6899122019577</v>
      </c>
      <c r="E62" s="4">
        <f>(SOFP!L53+SOFP!E57-SOFP!E7)/SOIC!E34</f>
        <v>15762.245549366762</v>
      </c>
      <c r="F62" s="4">
        <f>(SOFP!M53+SOFP!F57-SOFP!F7)/SOIC!F34</f>
        <v>-1983.8994770934569</v>
      </c>
    </row>
    <row r="63" spans="1:6">
      <c r="A63" s="4" t="s">
        <v>98</v>
      </c>
      <c r="B63" s="4">
        <f>(SOFP!I53+SOFP!B57-SOFP!B7)/SOFP!B53</f>
        <v>132.47506533502468</v>
      </c>
      <c r="C63" s="4">
        <f>(SOFP!J53+SOFP!C57-SOFP!C7)/SOFP!C53</f>
        <v>218.14876905421127</v>
      </c>
      <c r="D63" s="4">
        <f>(SOFP!K53+SOFP!D57-SOFP!D7)/SOFP!D53</f>
        <v>371.80354648333895</v>
      </c>
      <c r="E63" s="4">
        <f>(SOFP!L53+SOFP!E57-SOFP!E7)/SOFP!E53</f>
        <v>233.39751838102757</v>
      </c>
      <c r="F63" s="4">
        <f>(SOFP!M53+SOFP!F57-SOFP!F7)/SOFP!F53</f>
        <v>138.14127994398055</v>
      </c>
    </row>
    <row r="64" spans="1:6">
      <c r="A64" s="5" t="s">
        <v>89</v>
      </c>
      <c r="B64">
        <f>SOIC!B36</f>
        <v>-91754000</v>
      </c>
      <c r="C64">
        <f>SOIC!C36</f>
        <v>9032000</v>
      </c>
      <c r="D64">
        <f>SOIC!D36</f>
        <v>38956000</v>
      </c>
      <c r="E64">
        <f>SOIC!E36</f>
        <v>8799000</v>
      </c>
      <c r="F64">
        <f>SOIC!F36</f>
        <v>-44271000</v>
      </c>
    </row>
    <row r="65" spans="1:6">
      <c r="A65" s="5" t="s">
        <v>90</v>
      </c>
      <c r="B65">
        <f>(SOIC!B34/SOFP!B53)*100</f>
        <v>-14.639094667051728</v>
      </c>
      <c r="C65">
        <f>(SOIC!C34/SOFP!C53)*100</f>
        <v>1.6723678127897226</v>
      </c>
      <c r="D65">
        <f>(SOIC!D34/SOFP!D53)*100</f>
        <v>6.6019889638768463</v>
      </c>
      <c r="E65">
        <f>(SOIC!E34/SOFP!E53)*100</f>
        <v>1.480737739112332</v>
      </c>
      <c r="F65">
        <f>(SOIC!F34/SOFP!F53)*100</f>
        <v>-6.9631189250761132</v>
      </c>
    </row>
    <row r="66" spans="1:6">
      <c r="A66" s="5" t="s">
        <v>91</v>
      </c>
      <c r="B66"/>
      <c r="C66">
        <f>((SOCF!C21-SOCF!B21)/SOCF!B21)*100</f>
        <v>14.542522092671618</v>
      </c>
      <c r="D66">
        <f>((SOCF!D21-SOCF!C21)/SOCF!C21)*100</f>
        <v>18.217020153128573</v>
      </c>
      <c r="E66">
        <f>((SOCF!E21-SOCF!D21)/SOCF!D21)*100</f>
        <v>22.027841881932552</v>
      </c>
      <c r="F66">
        <f>((SOCF!F21-SOCF!E21)/SOCF!E21)*100</f>
        <v>-23.979176834228078</v>
      </c>
    </row>
    <row r="67" spans="1:6">
      <c r="A67" s="5" t="s">
        <v>349</v>
      </c>
      <c r="B67" s="5" t="s">
        <v>114</v>
      </c>
      <c r="C67">
        <f>SOIC!C6</f>
        <v>6.0635509305709494</v>
      </c>
      <c r="D67">
        <f>SOIC!D6</f>
        <v>35.082957753454508</v>
      </c>
      <c r="E67">
        <f>SOIC!E6</f>
        <v>6.2145732659690704</v>
      </c>
      <c r="F67">
        <f>SOIC!F6</f>
        <v>-5.0345879818844574</v>
      </c>
    </row>
    <row r="68" spans="1:6">
      <c r="A68" s="5" t="s">
        <v>350</v>
      </c>
      <c r="B68" s="5" t="s">
        <v>114</v>
      </c>
      <c r="C68" s="5">
        <f>((SOFP!C25-SOFP!B25)/SOFP!B25)*100</f>
        <v>-23.979685376210398</v>
      </c>
      <c r="D68" s="5">
        <f>((SOFP!D25-SOFP!C25)/SOFP!C25)*100</f>
        <v>16.301078607207902</v>
      </c>
      <c r="E68" s="5">
        <f>((SOFP!E25-SOFP!D25)/SOFP!D25)*100</f>
        <v>3.406046507193456</v>
      </c>
      <c r="F68" s="5">
        <f>((SOFP!F25-SOFP!E25)/SOFP!E25)*100</f>
        <v>-15.871823122916851</v>
      </c>
    </row>
    <row r="69" spans="1:6">
      <c r="A69" s="5" t="s">
        <v>93</v>
      </c>
      <c r="B69" s="5" t="s">
        <v>114</v>
      </c>
      <c r="C69">
        <f>((SOFP!C49-SOFP!B49)/SOFP!B49)*100</f>
        <v>-2.2101502722602411</v>
      </c>
      <c r="D69">
        <f>((SOFP!D49-SOFP!C49)/SOFP!C49)*100</f>
        <v>26.710653173390348</v>
      </c>
      <c r="E69">
        <f>((SOFP!E49-SOFP!D49)/SOFP!D49)*100</f>
        <v>4.3101083350155545</v>
      </c>
      <c r="F69">
        <f>((SOFP!F49-SOFP!E49)/SOFP!E49)*100</f>
        <v>-26.843949107798576</v>
      </c>
    </row>
    <row r="104" spans="1:2">
      <c r="A104" s="4" t="s">
        <v>398</v>
      </c>
      <c r="B104" s="4" t="s">
        <v>399</v>
      </c>
    </row>
    <row r="105" spans="1:2">
      <c r="A105" s="4" t="s">
        <v>400</v>
      </c>
      <c r="B105" s="46">
        <v>0.35</v>
      </c>
    </row>
    <row r="106" spans="1:2">
      <c r="A106" s="4" t="s">
        <v>401</v>
      </c>
      <c r="B106" s="46">
        <v>0.56000000000000005</v>
      </c>
    </row>
    <row r="107" spans="1:2">
      <c r="A107" s="4" t="s">
        <v>402</v>
      </c>
      <c r="B107" s="46">
        <v>0.69</v>
      </c>
    </row>
    <row r="108" spans="1:2">
      <c r="A108" s="4" t="s">
        <v>403</v>
      </c>
      <c r="B108" s="46">
        <v>0.85</v>
      </c>
    </row>
    <row r="109" spans="1:2">
      <c r="A109" s="4" t="s">
        <v>404</v>
      </c>
      <c r="B109" s="46">
        <v>0.95</v>
      </c>
    </row>
  </sheetData>
  <sortState xmlns:xlrd2="http://schemas.microsoft.com/office/spreadsheetml/2017/richdata2" columnSort="1" ref="B58:F63">
    <sortCondition ref="B58:F58"/>
  </sortState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3A46-B2F7-6644-8529-CA4287FB2F92}">
  <dimension ref="A1:X35"/>
  <sheetViews>
    <sheetView zoomScale="80" zoomScaleNormal="80" workbookViewId="0">
      <selection activeCell="L47" sqref="L47"/>
    </sheetView>
  </sheetViews>
  <sheetFormatPr baseColWidth="10" defaultRowHeight="15"/>
  <cols>
    <col min="1" max="1" width="29.1640625" bestFit="1" customWidth="1"/>
    <col min="2" max="3" width="25.6640625" bestFit="1" customWidth="1"/>
    <col min="4" max="4" width="11.83203125" bestFit="1" customWidth="1"/>
    <col min="5" max="5" width="12.5" bestFit="1" customWidth="1"/>
    <col min="6" max="6" width="14.1640625" customWidth="1"/>
    <col min="7" max="7" width="12.5" bestFit="1" customWidth="1"/>
    <col min="8" max="8" width="12.33203125" bestFit="1" customWidth="1"/>
    <col min="9" max="9" width="37.1640625" bestFit="1" customWidth="1"/>
    <col min="10" max="10" width="14.83203125" bestFit="1" customWidth="1"/>
    <col min="11" max="11" width="15.1640625" bestFit="1" customWidth="1"/>
    <col min="12" max="12" width="17.83203125" bestFit="1" customWidth="1"/>
    <col min="13" max="13" width="15.5" bestFit="1" customWidth="1"/>
    <col min="14" max="14" width="16.6640625" bestFit="1" customWidth="1"/>
    <col min="15" max="15" width="12.33203125" bestFit="1" customWidth="1"/>
    <col min="16" max="16" width="19.6640625" bestFit="1" customWidth="1"/>
  </cols>
  <sheetData>
    <row r="1" spans="1:16">
      <c r="A1" s="5" t="s">
        <v>359</v>
      </c>
    </row>
    <row r="2" spans="1:16">
      <c r="A2" s="13" t="s">
        <v>360</v>
      </c>
      <c r="B2" s="13"/>
      <c r="C2" s="13"/>
      <c r="D2" s="5"/>
      <c r="F2" s="5" t="s">
        <v>385</v>
      </c>
      <c r="G2">
        <f>(SOFP!F57-SOFP!F7)*1000</f>
        <v>89772000000</v>
      </c>
      <c r="I2" t="s">
        <v>265</v>
      </c>
      <c r="J2" s="31">
        <v>63541927800</v>
      </c>
    </row>
    <row r="3" spans="1:16">
      <c r="A3" s="13" t="s">
        <v>361</v>
      </c>
      <c r="B3" s="42">
        <v>0.14000000000000001</v>
      </c>
      <c r="C3" s="13" t="s">
        <v>362</v>
      </c>
    </row>
    <row r="4" spans="1:16">
      <c r="A4" s="13" t="s">
        <v>363</v>
      </c>
      <c r="B4" s="43">
        <v>2.5000000000000001E-2</v>
      </c>
      <c r="C4" s="13" t="s">
        <v>364</v>
      </c>
    </row>
    <row r="5" spans="1:16">
      <c r="A5" s="13" t="s">
        <v>365</v>
      </c>
      <c r="B5" s="42">
        <v>0.28000000000000003</v>
      </c>
      <c r="C5" s="13" t="s">
        <v>366</v>
      </c>
    </row>
    <row r="6" spans="1:16">
      <c r="A6" s="13" t="s">
        <v>372</v>
      </c>
      <c r="B6" s="42">
        <v>0.7</v>
      </c>
      <c r="C6" s="13"/>
    </row>
    <row r="7" spans="1:16">
      <c r="A7" s="13" t="s">
        <v>373</v>
      </c>
      <c r="B7" s="42">
        <v>0.08</v>
      </c>
      <c r="C7" s="13"/>
    </row>
    <row r="8" spans="1:16">
      <c r="A8" s="13" t="s">
        <v>370</v>
      </c>
      <c r="B8" s="13" t="s">
        <v>371</v>
      </c>
      <c r="C8" s="3"/>
    </row>
    <row r="9" spans="1:16">
      <c r="A9" s="13"/>
      <c r="B9" s="13"/>
      <c r="C9" s="3"/>
    </row>
    <row r="10" spans="1:16">
      <c r="A10" s="5"/>
      <c r="B10" s="5"/>
    </row>
    <row r="11" spans="1:16">
      <c r="A11" s="1" t="s">
        <v>367</v>
      </c>
      <c r="B11" s="5"/>
    </row>
    <row r="12" spans="1:16">
      <c r="A12" s="44" t="s">
        <v>358</v>
      </c>
      <c r="B12" s="44" t="s">
        <v>368</v>
      </c>
      <c r="C12" s="44" t="s">
        <v>369</v>
      </c>
      <c r="D12" s="44" t="s">
        <v>112</v>
      </c>
      <c r="E12" s="44" t="s">
        <v>374</v>
      </c>
      <c r="F12" s="44" t="s">
        <v>375</v>
      </c>
      <c r="G12" s="44" t="s">
        <v>376</v>
      </c>
      <c r="H12" s="44" t="s">
        <v>377</v>
      </c>
      <c r="I12" s="44" t="s">
        <v>378</v>
      </c>
      <c r="J12" s="44" t="s">
        <v>379</v>
      </c>
      <c r="K12" s="44" t="s">
        <v>359</v>
      </c>
      <c r="L12" s="44" t="s">
        <v>380</v>
      </c>
      <c r="M12" s="44" t="s">
        <v>384</v>
      </c>
      <c r="N12" s="44" t="s">
        <v>381</v>
      </c>
      <c r="O12" s="44" t="s">
        <v>386</v>
      </c>
      <c r="P12" s="45" t="s">
        <v>387</v>
      </c>
    </row>
    <row r="13" spans="1:16">
      <c r="A13">
        <v>2025</v>
      </c>
      <c r="B13">
        <v>2916186600000</v>
      </c>
      <c r="C13" s="40">
        <v>0.21</v>
      </c>
      <c r="D13">
        <f>B13*C13</f>
        <v>612399186000</v>
      </c>
      <c r="E13">
        <f>D13-H13</f>
        <v>597899186000</v>
      </c>
      <c r="F13">
        <f>E13*B5</f>
        <v>167411772080.00003</v>
      </c>
      <c r="G13">
        <f>E13-F13</f>
        <v>430487413920</v>
      </c>
      <c r="H13">
        <v>14500000000</v>
      </c>
      <c r="I13">
        <f>B6*H13</f>
        <v>10150000000</v>
      </c>
      <c r="J13" s="41">
        <f>0.08*(B13 - SOIC!F5)</f>
        <v>233272919120</v>
      </c>
      <c r="K13" s="41">
        <f>G13+H13-I13-J13</f>
        <v>201564494800</v>
      </c>
      <c r="L13">
        <f>(K13*(1+0.025))/(0.14-0.025)</f>
        <v>1796553105826.0864</v>
      </c>
      <c r="M13">
        <f>K13/((1+0.14)^1)</f>
        <v>176810960350.87717</v>
      </c>
      <c r="N13">
        <f>L13/(1+0.14)^1</f>
        <v>1575923777040.4265</v>
      </c>
      <c r="O13">
        <f>M20-G2</f>
        <v>11715012702326.332</v>
      </c>
      <c r="P13">
        <f>O13/J2</f>
        <v>184.36665533975713</v>
      </c>
    </row>
    <row r="14" spans="1:16">
      <c r="A14">
        <v>2026</v>
      </c>
      <c r="B14">
        <f>B13 * 1.06</f>
        <v>3091157796000</v>
      </c>
      <c r="C14" s="40">
        <v>0.215</v>
      </c>
      <c r="D14">
        <f t="shared" ref="D14:D16" si="0">B14*C14</f>
        <v>664598926140</v>
      </c>
      <c r="E14">
        <f t="shared" ref="E14:E17" si="1">D14-H14</f>
        <v>650098926140</v>
      </c>
      <c r="F14">
        <f>E14*B5</f>
        <v>182027699319.20001</v>
      </c>
      <c r="G14">
        <f t="shared" ref="G14:G17" si="2">E14-F14</f>
        <v>468071226820.79999</v>
      </c>
      <c r="H14">
        <v>14500000000</v>
      </c>
      <c r="I14">
        <f>0.7 * H14</f>
        <v>10150000000</v>
      </c>
      <c r="J14">
        <f>0.8*(B14-B13)</f>
        <v>139976956800</v>
      </c>
      <c r="K14" s="41">
        <f t="shared" ref="K14:K17" si="3">G14+H14-I14-J14</f>
        <v>332444270020.79999</v>
      </c>
      <c r="L14">
        <f t="shared" ref="L14:L17" si="4">(K14*(1+0.025))/(0.14-0.025)</f>
        <v>2963090232794.0859</v>
      </c>
      <c r="M14">
        <f>K14/(1+0.14)^2</f>
        <v>255805070807.01749</v>
      </c>
      <c r="N14">
        <f>L14/(1+0.14)^2</f>
        <v>2280001718062.5464</v>
      </c>
    </row>
    <row r="15" spans="1:16">
      <c r="A15">
        <v>2027</v>
      </c>
      <c r="B15">
        <f>B14 * 1.05</f>
        <v>3245715685800</v>
      </c>
      <c r="C15" s="40">
        <v>0.22</v>
      </c>
      <c r="D15">
        <f t="shared" si="0"/>
        <v>714057450876</v>
      </c>
      <c r="E15">
        <f t="shared" si="1"/>
        <v>699557450876</v>
      </c>
      <c r="F15">
        <f>E15*B5</f>
        <v>195876086245.28003</v>
      </c>
      <c r="G15">
        <f t="shared" si="2"/>
        <v>503681364630.71997</v>
      </c>
      <c r="H15">
        <v>14500000000</v>
      </c>
      <c r="I15">
        <f t="shared" ref="I15:I17" si="5">0.7 * H15</f>
        <v>10150000000</v>
      </c>
      <c r="J15">
        <f t="shared" ref="J15:J17" si="6">0.8*(B15-B14)</f>
        <v>123646311840</v>
      </c>
      <c r="K15" s="41">
        <f t="shared" si="3"/>
        <v>384385052790.71997</v>
      </c>
      <c r="L15">
        <f t="shared" si="4"/>
        <v>3426040687917.2856</v>
      </c>
      <c r="M15">
        <f>K15/(1+0.14)^3</f>
        <v>259448961887.54425</v>
      </c>
      <c r="N15">
        <f>L15/(1+0.14)^3</f>
        <v>2312479877693.3286</v>
      </c>
    </row>
    <row r="16" spans="1:16">
      <c r="A16">
        <v>2028</v>
      </c>
      <c r="B16">
        <f>B15 * 1.04</f>
        <v>3375544313232</v>
      </c>
      <c r="C16" s="40">
        <v>0.22</v>
      </c>
      <c r="D16">
        <f t="shared" si="0"/>
        <v>742619748911.04004</v>
      </c>
      <c r="E16">
        <f t="shared" si="1"/>
        <v>728119748911.04004</v>
      </c>
      <c r="F16">
        <f>E16*B5</f>
        <v>203873529695.09122</v>
      </c>
      <c r="G16">
        <f t="shared" si="2"/>
        <v>524246219215.94885</v>
      </c>
      <c r="H16">
        <v>14500000000</v>
      </c>
      <c r="I16">
        <f t="shared" si="5"/>
        <v>10150000000</v>
      </c>
      <c r="J16">
        <f t="shared" si="6"/>
        <v>103862901945.60001</v>
      </c>
      <c r="K16" s="41">
        <f t="shared" si="3"/>
        <v>424733317270.34888</v>
      </c>
      <c r="L16">
        <f t="shared" si="4"/>
        <v>3785666523496.5869</v>
      </c>
      <c r="M16">
        <f>K16/(1+0.14)^4</f>
        <v>251476220297.78882</v>
      </c>
      <c r="N16">
        <f>L16/(1+0.14)^4</f>
        <v>2241418485262.8999</v>
      </c>
    </row>
    <row r="17" spans="1:24">
      <c r="A17">
        <v>2029</v>
      </c>
      <c r="B17">
        <f>B16* 1.03</f>
        <v>3476810642628.96</v>
      </c>
      <c r="C17" s="40">
        <v>0.22500000000000001</v>
      </c>
      <c r="D17">
        <f>B17*C17</f>
        <v>782282394591.51599</v>
      </c>
      <c r="E17">
        <f t="shared" si="1"/>
        <v>767782394591.51599</v>
      </c>
      <c r="F17">
        <f>E17*B5</f>
        <v>214979070485.62451</v>
      </c>
      <c r="G17">
        <f t="shared" si="2"/>
        <v>552803324105.89148</v>
      </c>
      <c r="H17">
        <v>14500000000</v>
      </c>
      <c r="I17">
        <f t="shared" si="5"/>
        <v>10150000000</v>
      </c>
      <c r="J17">
        <f t="shared" si="6"/>
        <v>81013063517.567978</v>
      </c>
      <c r="K17" s="41">
        <f t="shared" si="3"/>
        <v>476140260588.32349</v>
      </c>
      <c r="L17">
        <f t="shared" si="4"/>
        <v>4243858844374.1865</v>
      </c>
      <c r="M17">
        <f>K17/(1+0.14)^5</f>
        <v>247292331189.69196</v>
      </c>
      <c r="N17">
        <f>L17/(1+0.14)^5</f>
        <v>2204127299734.2104</v>
      </c>
    </row>
    <row r="19" spans="1:24">
      <c r="L19" s="5" t="s">
        <v>382</v>
      </c>
      <c r="M19">
        <f>SUM(M13:M17)</f>
        <v>1190833544532.9197</v>
      </c>
      <c r="N19">
        <f>SUM(N13:N17)</f>
        <v>10613951157793.412</v>
      </c>
    </row>
    <row r="20" spans="1:24">
      <c r="L20" s="5" t="s">
        <v>383</v>
      </c>
      <c r="M20">
        <f>SUM(M19:N19)</f>
        <v>11804784702326.332</v>
      </c>
    </row>
    <row r="24" spans="1:24">
      <c r="A24" s="5" t="s">
        <v>388</v>
      </c>
      <c r="T24" s="44"/>
      <c r="U24" s="44"/>
      <c r="V24" s="44"/>
      <c r="W24" s="44"/>
      <c r="X24" s="45"/>
    </row>
    <row r="25" spans="1:24">
      <c r="A25" s="5" t="s">
        <v>389</v>
      </c>
    </row>
    <row r="26" spans="1:24">
      <c r="A26" s="5" t="s">
        <v>391</v>
      </c>
      <c r="B26">
        <v>52662500000</v>
      </c>
      <c r="C26" s="5" t="s">
        <v>393</v>
      </c>
    </row>
    <row r="27" spans="1:24">
      <c r="A27" s="5" t="s">
        <v>392</v>
      </c>
      <c r="B27" s="40">
        <v>2.5000000000000001E-2</v>
      </c>
      <c r="C27" s="5" t="s">
        <v>394</v>
      </c>
    </row>
    <row r="28" spans="1:24">
      <c r="A28" s="5" t="s">
        <v>390</v>
      </c>
      <c r="B28" s="40">
        <v>0.16500000000000001</v>
      </c>
      <c r="C28" s="5" t="s">
        <v>395</v>
      </c>
    </row>
    <row r="30" spans="1:24">
      <c r="A30" s="44" t="s">
        <v>396</v>
      </c>
      <c r="B30" s="44" t="s">
        <v>396</v>
      </c>
      <c r="C30" s="44" t="s">
        <v>386</v>
      </c>
      <c r="D30" s="45" t="s">
        <v>397</v>
      </c>
    </row>
    <row r="31" spans="1:24">
      <c r="A31">
        <v>2025</v>
      </c>
      <c r="B31">
        <f>52662500000*(1*2.5%)</f>
        <v>1316562500</v>
      </c>
      <c r="C31">
        <f>B31/(0.165-0.025)</f>
        <v>9404017857.1428566</v>
      </c>
      <c r="D31">
        <f>C31/635419278</f>
        <v>14.799704986512632</v>
      </c>
      <c r="T31" s="5"/>
    </row>
    <row r="32" spans="1:24">
      <c r="A32">
        <v>2026</v>
      </c>
      <c r="B32">
        <f>B31*(1+0.025)</f>
        <v>1349476562.5</v>
      </c>
      <c r="T32" s="5"/>
    </row>
    <row r="33" spans="1:2">
      <c r="A33">
        <v>2027</v>
      </c>
      <c r="B33">
        <f t="shared" ref="B33:B35" si="7">B32*(1+0.025)</f>
        <v>1383213476.5624998</v>
      </c>
    </row>
    <row r="34" spans="1:2">
      <c r="A34">
        <v>2028</v>
      </c>
      <c r="B34">
        <f t="shared" si="7"/>
        <v>1417793813.476562</v>
      </c>
    </row>
    <row r="35" spans="1:2">
      <c r="A35">
        <v>2029</v>
      </c>
      <c r="B35">
        <f t="shared" si="7"/>
        <v>1453238658.8134758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SOIC</vt:lpstr>
      <vt:lpstr>SOCI</vt:lpstr>
      <vt:lpstr>SOFP</vt:lpstr>
      <vt:lpstr>SOCF</vt:lpstr>
      <vt:lpstr>Financial Analysis</vt:lpstr>
      <vt:lpstr>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Anesu Mukuvari</dc:creator>
  <cp:keywords/>
  <dc:description/>
  <cp:lastModifiedBy>Anesu Mukuvari</cp:lastModifiedBy>
  <dcterms:created xsi:type="dcterms:W3CDTF">2022-05-24T23:47:16Z</dcterms:created>
  <dcterms:modified xsi:type="dcterms:W3CDTF">2025-06-16T04:53:11Z</dcterms:modified>
  <cp:category/>
</cp:coreProperties>
</file>